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38400" windowHeight="17835"/>
  </bookViews>
  <sheets>
    <sheet name="User (Example)" sheetId="8" r:id="rId1"/>
    <sheet name="Data" sheetId="4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6" i="8" l="1"/>
  <c r="J41" i="8"/>
  <c r="F42" i="4"/>
  <c r="H42" i="4" s="1"/>
  <c r="F41" i="4"/>
  <c r="H41" i="4" s="1"/>
  <c r="J41" i="4" s="1"/>
  <c r="F42" i="8"/>
  <c r="F41" i="8"/>
  <c r="J78" i="8"/>
  <c r="J76" i="8"/>
  <c r="J74" i="8"/>
  <c r="J72" i="8"/>
  <c r="F70" i="8"/>
  <c r="F69" i="8"/>
  <c r="J70" i="8" s="1"/>
  <c r="J65" i="8"/>
  <c r="H65" i="8"/>
  <c r="H64" i="8"/>
  <c r="J64" i="8" s="1"/>
  <c r="J62" i="8"/>
  <c r="H62" i="8"/>
  <c r="H60" i="8"/>
  <c r="J60" i="8" s="1"/>
  <c r="J58" i="8"/>
  <c r="J55" i="8"/>
  <c r="J53" i="8"/>
  <c r="J46" i="8"/>
  <c r="H42" i="8"/>
  <c r="H41" i="8"/>
  <c r="F38" i="8"/>
  <c r="J38" i="8" s="1"/>
  <c r="H34" i="8"/>
  <c r="J34" i="8" s="1"/>
  <c r="H29" i="8"/>
  <c r="J29" i="8" s="1"/>
  <c r="J27" i="8"/>
  <c r="J25" i="8"/>
  <c r="F23" i="8"/>
  <c r="J23" i="8" s="1"/>
  <c r="F22" i="8"/>
  <c r="J18" i="8"/>
  <c r="H18" i="8"/>
  <c r="J16" i="8"/>
  <c r="J14" i="8"/>
  <c r="H12" i="8"/>
  <c r="J12" i="8" s="1"/>
  <c r="H65" i="4"/>
  <c r="H64" i="4"/>
  <c r="J64" i="4" s="1"/>
  <c r="H62" i="4"/>
  <c r="J62" i="4" s="1"/>
  <c r="H60" i="4"/>
  <c r="J60" i="4" s="1"/>
  <c r="H34" i="4"/>
  <c r="J34" i="4" s="1"/>
  <c r="H29" i="4"/>
  <c r="J29" i="4" s="1"/>
  <c r="H18" i="4"/>
  <c r="J18" i="4" s="1"/>
  <c r="H12" i="4"/>
  <c r="J12" i="4" s="1"/>
  <c r="J74" i="4"/>
  <c r="J78" i="4"/>
  <c r="J76" i="4"/>
  <c r="J72" i="4"/>
  <c r="J65" i="4"/>
  <c r="J58" i="4"/>
  <c r="J55" i="4"/>
  <c r="J53" i="4"/>
  <c r="J46" i="4"/>
  <c r="J27" i="4"/>
  <c r="J25" i="4"/>
  <c r="J14" i="4"/>
  <c r="J16" i="4"/>
  <c r="F70" i="4"/>
  <c r="F69" i="4"/>
  <c r="F23" i="4"/>
  <c r="F22" i="4"/>
  <c r="F38" i="4"/>
  <c r="J38" i="4" s="1"/>
  <c r="J84" i="8" l="1"/>
  <c r="J70" i="4"/>
  <c r="J23" i="4"/>
  <c r="D89" i="8" l="1"/>
  <c r="J89" i="8" s="1"/>
  <c r="J84" i="4"/>
  <c r="J86" i="4" s="1"/>
  <c r="E89" i="8" l="1"/>
  <c r="D89" i="4"/>
  <c r="J89" i="4" s="1"/>
  <c r="D90" i="8" l="1"/>
  <c r="J90" i="8" s="1"/>
  <c r="E89" i="4"/>
  <c r="D90" i="4"/>
  <c r="J90" i="4" s="1"/>
  <c r="E90" i="8" l="1"/>
  <c r="E90" i="4"/>
  <c r="D91" i="4" s="1"/>
  <c r="J91" i="4" s="1"/>
  <c r="D91" i="8" l="1"/>
  <c r="J91" i="8" s="1"/>
  <c r="E91" i="4"/>
  <c r="D92" i="4" s="1"/>
  <c r="J92" i="4" s="1"/>
  <c r="E91" i="8" l="1"/>
  <c r="E92" i="4"/>
  <c r="D93" i="4"/>
  <c r="J93" i="4" s="1"/>
  <c r="D92" i="8" l="1"/>
  <c r="J92" i="8" s="1"/>
  <c r="E93" i="4"/>
  <c r="D94" i="4" s="1"/>
  <c r="J94" i="4" s="1"/>
  <c r="E92" i="8" l="1"/>
  <c r="E94" i="4"/>
  <c r="D95" i="4" s="1"/>
  <c r="J95" i="4" s="1"/>
  <c r="D93" i="8" l="1"/>
  <c r="J93" i="8" s="1"/>
  <c r="E95" i="4"/>
  <c r="D96" i="4" s="1"/>
  <c r="J96" i="4" s="1"/>
  <c r="E93" i="8" l="1"/>
  <c r="E96" i="4"/>
  <c r="D97" i="4" s="1"/>
  <c r="J97" i="4" s="1"/>
  <c r="D94" i="8" l="1"/>
  <c r="J94" i="8" s="1"/>
  <c r="E97" i="4"/>
  <c r="D98" i="4" s="1"/>
  <c r="J98" i="4" s="1"/>
  <c r="E94" i="8" l="1"/>
  <c r="D95" i="8"/>
  <c r="J95" i="8" s="1"/>
  <c r="E98" i="4"/>
  <c r="D99" i="4" s="1"/>
  <c r="J99" i="4" s="1"/>
  <c r="E95" i="8" l="1"/>
  <c r="E99" i="4"/>
  <c r="D100" i="4" s="1"/>
  <c r="J100" i="4"/>
  <c r="J101" i="4" s="1"/>
  <c r="J103" i="4" s="1"/>
  <c r="D96" i="8" l="1"/>
  <c r="J96" i="8" s="1"/>
  <c r="E96" i="8"/>
  <c r="E100" i="4"/>
  <c r="D97" i="8" l="1"/>
  <c r="J97" i="8" s="1"/>
  <c r="E97" i="8" l="1"/>
  <c r="D98" i="8" l="1"/>
  <c r="J98" i="8" s="1"/>
  <c r="E98" i="8" l="1"/>
  <c r="D99" i="8" l="1"/>
  <c r="J99" i="8" s="1"/>
  <c r="E99" i="8" l="1"/>
  <c r="D100" i="8" l="1"/>
  <c r="J100" i="8" s="1"/>
  <c r="J101" i="8" s="1"/>
  <c r="J103" i="8" s="1"/>
  <c r="E100" i="8" l="1"/>
</calcChain>
</file>

<file path=xl/sharedStrings.xml><?xml version="1.0" encoding="utf-8"?>
<sst xmlns="http://schemas.openxmlformats.org/spreadsheetml/2006/main" count="220" uniqueCount="83">
  <si>
    <t>A</t>
  </si>
  <si>
    <t>(b)</t>
  </si>
  <si>
    <t>B</t>
  </si>
  <si>
    <t>C</t>
  </si>
  <si>
    <t>Gross Income</t>
  </si>
  <si>
    <t>Tax Relief</t>
  </si>
  <si>
    <t>Individual and dependent relatives</t>
  </si>
  <si>
    <t>Parents</t>
  </si>
  <si>
    <t>OR</t>
  </si>
  <si>
    <t>Restricted to RM1,500 for only one mother</t>
  </si>
  <si>
    <t>Restricted to RM1,500 for only one father</t>
  </si>
  <si>
    <t>Basic supporting equipment for disable self, spouse, child or parent</t>
  </si>
  <si>
    <t>Disable individual</t>
  </si>
  <si>
    <t>Education fees for self</t>
  </si>
  <si>
    <t>Medical expenses for serious diseases for self, spouse or child</t>
  </si>
  <si>
    <t>Medical expenses for fertility treatment for self or spouse</t>
  </si>
  <si>
    <t>(a) Medical treatment, special needs and carer expenses</t>
  </si>
  <si>
    <t>(a) Degree at masters or doctorate level for any couse of study</t>
  </si>
  <si>
    <t>(b) Other than a Degree at masters or doctorate level for couse of study in Law, Accounting, Islamic Financing, Technical, Vocational, Industrial, Scientific or Technology</t>
  </si>
  <si>
    <t>Lifestyle - Expenses for the use / benefit of self, spouse or child in respect of:</t>
  </si>
  <si>
    <t>(a) Purchase of books / journals / magazines / printed newspapers / other similar publications that is/are not banned reading material</t>
  </si>
  <si>
    <t>(b) Purchase of personal computer, smartphone or tablet that is not for business use</t>
  </si>
  <si>
    <t>(c) Purchase of sports equipment for sports activity defined under the Sports Development Act 1997 and payment of gym membership</t>
  </si>
  <si>
    <t>(d) Payment of monthly bill for internet subscription that is under own name</t>
  </si>
  <si>
    <t>Lifestyle - Purchase of personal computer, smartphone or tablet for self, spouse or child and not for business use</t>
  </si>
  <si>
    <t>Child care fees to a registered child care centre / kindergarten for a child aged 6 years and below</t>
  </si>
  <si>
    <t>Husband / wife / payment of alimony to former wife</t>
  </si>
  <si>
    <t>Disabled husband / wife</t>
  </si>
  <si>
    <t>Each unmarried child and under the age of 18 years old</t>
  </si>
  <si>
    <t>Each unmarried child of 18 years and above that:</t>
  </si>
  <si>
    <t>(b) Receiving further education outside Malaysia in respect of an award of degree or its equivalent including Master or Doctorate</t>
  </si>
  <si>
    <t>(a) Receiving further education in Malaysia in respect of an award of diploma or higher but excluding matriculation/preparatory courses</t>
  </si>
  <si>
    <t>(c) The instruction and educational establishment shall be approved by the relevant government authority</t>
  </si>
  <si>
    <t>(a) Disable child</t>
  </si>
  <si>
    <t>(b) Additional exemption of RM8,000 disable child age 18 years old and above, not married and pursuing diplomas or above qualification in Malaysia @ Bachelor Degree or above outside Malaysia in program and in Higher Education Institute that is accredited by related Government authorities</t>
  </si>
  <si>
    <t>(a) Pensionable public servant category - Life insurance premium</t>
  </si>
  <si>
    <t>Deferred Annuity and Private Retirement Scheme (PRS) with effect from year assessment 2012 until year assesssment 2021</t>
  </si>
  <si>
    <t>Contribution to the Social Security Organization (SOCSO)</t>
  </si>
  <si>
    <t>Payment for accommodation at premises registered with the Commissioner of Tourism and entrance fee to a tourist attraction</t>
  </si>
  <si>
    <t>(Accommodation expenses at premises registered with the Ministry of Tourism, Arts and Culture Malaysia and entrance fees to tourists attractions incurred on or after 1st March 2020)</t>
  </si>
  <si>
    <r>
      <t xml:space="preserve">Complete medical examination for self, spouse, child with </t>
    </r>
    <r>
      <rPr>
        <b/>
        <sz val="14"/>
        <color theme="1"/>
        <rFont val="Times New Roman"/>
        <family val="1"/>
      </rPr>
      <t>restriction to RM500</t>
    </r>
  </si>
  <si>
    <r>
      <t xml:space="preserve">Life insurance and EPF </t>
    </r>
    <r>
      <rPr>
        <b/>
        <sz val="14"/>
        <color theme="1"/>
        <rFont val="Times New Roman"/>
        <family val="1"/>
      </rPr>
      <t>INCLUDING</t>
    </r>
    <r>
      <rPr>
        <sz val="14"/>
        <color theme="1"/>
        <rFont val="Times New Roman"/>
        <family val="1"/>
      </rPr>
      <t xml:space="preserve"> not through salary deduction</t>
    </r>
  </si>
  <si>
    <r>
      <t xml:space="preserve">(b) </t>
    </r>
    <r>
      <rPr>
        <b/>
        <sz val="14"/>
        <color theme="1"/>
        <rFont val="Times New Roman"/>
        <family val="1"/>
      </rPr>
      <t>OTHER</t>
    </r>
    <r>
      <rPr>
        <sz val="14"/>
        <color theme="1"/>
        <rFont val="Times New Roman"/>
        <family val="1"/>
      </rPr>
      <t xml:space="preserve"> than pensionable public servant category such as life insurance premium with </t>
    </r>
    <r>
      <rPr>
        <b/>
        <sz val="14"/>
        <color theme="1"/>
        <rFont val="Times New Roman"/>
        <family val="1"/>
      </rPr>
      <t>restriction to RM3,000</t>
    </r>
    <r>
      <rPr>
        <sz val="14"/>
        <color theme="1"/>
        <rFont val="Times New Roman"/>
        <family val="1"/>
      </rPr>
      <t xml:space="preserve"> and contribution to EPF / approved scheme with </t>
    </r>
    <r>
      <rPr>
        <b/>
        <sz val="14"/>
        <color theme="1"/>
        <rFont val="Times New Roman"/>
        <family val="1"/>
      </rPr>
      <t>restriction to RM 4,000</t>
    </r>
  </si>
  <si>
    <r>
      <t xml:space="preserve">Education and medical insurance </t>
    </r>
    <r>
      <rPr>
        <b/>
        <sz val="14"/>
        <color theme="1"/>
        <rFont val="Times New Roman"/>
        <family val="1"/>
      </rPr>
      <t>INCLUDING</t>
    </r>
    <r>
      <rPr>
        <sz val="14"/>
        <color theme="1"/>
        <rFont val="Times New Roman"/>
        <family val="1"/>
      </rPr>
      <t xml:space="preserve"> not through salary deduction</t>
    </r>
  </si>
  <si>
    <t>Education</t>
  </si>
  <si>
    <t>Medical</t>
  </si>
  <si>
    <t>D</t>
  </si>
  <si>
    <t>Disable</t>
  </si>
  <si>
    <t>Family</t>
  </si>
  <si>
    <t>E</t>
  </si>
  <si>
    <t>F</t>
  </si>
  <si>
    <t>Insurances and others</t>
  </si>
  <si>
    <t>Purchase of breastfeeding equipment for own use for a child aged 2 years and below</t>
  </si>
  <si>
    <t>Lifestyle</t>
  </si>
  <si>
    <t>Yes</t>
  </si>
  <si>
    <t>No</t>
  </si>
  <si>
    <t>c</t>
  </si>
  <si>
    <t>b</t>
  </si>
  <si>
    <t>M</t>
  </si>
  <si>
    <t>Net deposit in Skim Simpanan Pendidikan Nasional</t>
  </si>
  <si>
    <t>Each unmarried child of 18 years and above who is receiving full-time education</t>
  </si>
  <si>
    <t>d</t>
  </si>
  <si>
    <t>N</t>
  </si>
  <si>
    <t>Total Chargeable Income</t>
  </si>
  <si>
    <t>Total</t>
  </si>
  <si>
    <t>RM0 - RM5,000</t>
  </si>
  <si>
    <t>RM5,001 - RM20,000</t>
  </si>
  <si>
    <t>RM20,001 - RM35,000</t>
  </si>
  <si>
    <t>RM35,001 - RM50,000</t>
  </si>
  <si>
    <t>RM50,001 - RM70,000</t>
  </si>
  <si>
    <t>RM70,001 - RM100,000</t>
  </si>
  <si>
    <t>RM100,001 - RM250,000</t>
  </si>
  <si>
    <t>RM250,001 - RM400,000</t>
  </si>
  <si>
    <t>RM400,001 - RM600,000</t>
  </si>
  <si>
    <t>RM600,001 - RM1,000,000</t>
  </si>
  <si>
    <t>RM1,000,001 - RM2,000,000</t>
  </si>
  <si>
    <t>&gt;RM2,000,000</t>
  </si>
  <si>
    <t>Total Tax</t>
  </si>
  <si>
    <t>Tax</t>
  </si>
  <si>
    <t>Remaining</t>
  </si>
  <si>
    <t>Calculation</t>
  </si>
  <si>
    <t>Rate</t>
  </si>
  <si>
    <t>Net Income After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</si>
</sst>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RM&quot;#,##0;[Red]\-&quot;RM&quot;#,##0"/>
    <numFmt numFmtId="167" formatCode="&quot;RM&quot;#,##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Times New Roman"/>
      <family val="1"/>
    </font>
    <font>
      <b/>
      <sz val="20"/>
      <color theme="0"/>
      <name val="Arial"/>
      <family val="2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name val="Times New Roman"/>
      <family val="1"/>
    </font>
    <font>
      <b/>
      <sz val="14"/>
      <color rgb="FFFF0000"/>
      <name val="Times New Roman"/>
      <family val="1"/>
    </font>
    <font>
      <b/>
      <sz val="14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 applyAlignment="1">
      <alignment vertical="top" wrapText="1"/>
    </xf>
    <xf numFmtId="167" fontId="0" fillId="0" borderId="0" xfId="0" applyNumberFormat="1"/>
    <xf numFmtId="0" fontId="0" fillId="0" borderId="4" xfId="0" applyBorder="1"/>
    <xf numFmtId="0" fontId="2" fillId="0" borderId="0" xfId="0" applyFont="1" applyBorder="1"/>
    <xf numFmtId="0" fontId="0" fillId="0" borderId="0" xfId="0" applyBorder="1"/>
    <xf numFmtId="0" fontId="0" fillId="0" borderId="7" xfId="0" applyBorder="1"/>
    <xf numFmtId="0" fontId="3" fillId="2" borderId="0" xfId="0" applyFont="1" applyFill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0" xfId="0" applyFont="1" applyBorder="1" applyAlignment="1">
      <alignment vertical="top" wrapText="1"/>
    </xf>
    <xf numFmtId="0" fontId="4" fillId="4" borderId="0" xfId="0" applyFont="1" applyFill="1" applyBorder="1" applyAlignment="1">
      <alignment vertical="top" wrapText="1"/>
    </xf>
    <xf numFmtId="167" fontId="6" fillId="0" borderId="0" xfId="0" applyNumberFormat="1" applyFont="1" applyBorder="1" applyAlignment="1">
      <alignment vertical="top" wrapText="1"/>
    </xf>
    <xf numFmtId="167" fontId="7" fillId="0" borderId="7" xfId="0" applyNumberFormat="1" applyFont="1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0" fontId="0" fillId="0" borderId="6" xfId="0" applyBorder="1"/>
    <xf numFmtId="0" fontId="4" fillId="0" borderId="6" xfId="0" applyFont="1" applyBorder="1" applyAlignment="1">
      <alignment horizontal="right" vertical="top" wrapText="1"/>
    </xf>
    <xf numFmtId="0" fontId="0" fillId="0" borderId="6" xfId="0" applyBorder="1" applyAlignment="1">
      <alignment vertical="top"/>
    </xf>
    <xf numFmtId="0" fontId="5" fillId="0" borderId="0" xfId="0" applyFont="1" applyBorder="1" applyAlignment="1">
      <alignment vertical="top" wrapText="1"/>
    </xf>
    <xf numFmtId="0" fontId="0" fillId="0" borderId="9" xfId="0" applyBorder="1"/>
    <xf numFmtId="0" fontId="0" fillId="0" borderId="10" xfId="0" applyBorder="1"/>
    <xf numFmtId="0" fontId="3" fillId="2" borderId="11" xfId="0" applyFont="1" applyFill="1" applyBorder="1" applyAlignment="1">
      <alignment horizontal="center" vertical="center"/>
    </xf>
    <xf numFmtId="0" fontId="0" fillId="0" borderId="1" xfId="0" applyBorder="1"/>
    <xf numFmtId="167" fontId="4" fillId="3" borderId="12" xfId="0" applyNumberFormat="1" applyFont="1" applyFill="1" applyBorder="1" applyAlignment="1">
      <alignment horizontal="right" vertical="center"/>
    </xf>
    <xf numFmtId="0" fontId="3" fillId="2" borderId="12" xfId="0" applyFont="1" applyFill="1" applyBorder="1" applyAlignment="1">
      <alignment horizontal="center" vertical="center"/>
    </xf>
    <xf numFmtId="0" fontId="0" fillId="0" borderId="5" xfId="0" applyBorder="1"/>
    <xf numFmtId="0" fontId="4" fillId="0" borderId="8" xfId="0" applyFont="1" applyBorder="1" applyAlignment="1">
      <alignment wrapText="1"/>
    </xf>
    <xf numFmtId="0" fontId="4" fillId="4" borderId="9" xfId="0" applyFont="1" applyFill="1" applyBorder="1" applyAlignment="1">
      <alignment vertical="top" wrapText="1"/>
    </xf>
    <xf numFmtId="167" fontId="6" fillId="0" borderId="9" xfId="0" applyNumberFormat="1" applyFont="1" applyBorder="1" applyAlignment="1">
      <alignment vertical="top" wrapText="1"/>
    </xf>
    <xf numFmtId="167" fontId="7" fillId="0" borderId="10" xfId="0" applyNumberFormat="1" applyFont="1" applyBorder="1" applyAlignment="1">
      <alignment vertical="top" wrapText="1"/>
    </xf>
    <xf numFmtId="0" fontId="0" fillId="0" borderId="14" xfId="0" applyBorder="1"/>
    <xf numFmtId="0" fontId="3" fillId="2" borderId="1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8" xfId="0" applyFont="1" applyBorder="1" applyAlignment="1">
      <alignment vertical="top" wrapText="1"/>
    </xf>
    <xf numFmtId="0" fontId="4" fillId="0" borderId="14" xfId="0" applyFont="1" applyBorder="1" applyAlignment="1">
      <alignment vertical="top" wrapText="1"/>
    </xf>
    <xf numFmtId="0" fontId="3" fillId="2" borderId="13" xfId="0" applyFont="1" applyFill="1" applyBorder="1" applyAlignment="1">
      <alignment horizontal="center" vertical="center"/>
    </xf>
    <xf numFmtId="167" fontId="7" fillId="0" borderId="0" xfId="0" applyNumberFormat="1" applyFont="1" applyBorder="1" applyAlignment="1">
      <alignment vertical="top" wrapText="1"/>
    </xf>
    <xf numFmtId="167" fontId="8" fillId="0" borderId="0" xfId="0" applyNumberFormat="1" applyFont="1" applyFill="1" applyBorder="1" applyAlignment="1">
      <alignment vertical="top" wrapText="1"/>
    </xf>
    <xf numFmtId="0" fontId="4" fillId="0" borderId="14" xfId="0" applyFont="1" applyBorder="1" applyAlignment="1">
      <alignment wrapText="1"/>
    </xf>
    <xf numFmtId="0" fontId="4" fillId="0" borderId="15" xfId="0" applyFont="1" applyBorder="1" applyAlignment="1">
      <alignment wrapText="1"/>
    </xf>
    <xf numFmtId="0" fontId="0" fillId="0" borderId="14" xfId="0" applyBorder="1" applyAlignment="1">
      <alignment vertical="top"/>
    </xf>
    <xf numFmtId="0" fontId="4" fillId="0" borderId="15" xfId="0" applyFont="1" applyBorder="1" applyAlignment="1">
      <alignment vertical="top" wrapText="1"/>
    </xf>
    <xf numFmtId="0" fontId="0" fillId="0" borderId="3" xfId="0" applyBorder="1"/>
    <xf numFmtId="0" fontId="0" fillId="0" borderId="8" xfId="0" applyBorder="1"/>
    <xf numFmtId="0" fontId="5" fillId="0" borderId="14" xfId="0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vertical="top" wrapText="1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7" fontId="4" fillId="0" borderId="14" xfId="0" applyNumberFormat="1" applyFont="1" applyBorder="1" applyAlignment="1">
      <alignment horizontal="center" vertical="center"/>
    </xf>
    <xf numFmtId="167" fontId="4" fillId="0" borderId="3" xfId="0" applyNumberFormat="1" applyFont="1" applyBorder="1" applyAlignment="1">
      <alignment horizontal="center" vertical="center"/>
    </xf>
    <xf numFmtId="167" fontId="4" fillId="0" borderId="4" xfId="0" applyNumberFormat="1" applyFont="1" applyBorder="1" applyAlignment="1">
      <alignment horizontal="center" vertical="center"/>
    </xf>
    <xf numFmtId="167" fontId="4" fillId="0" borderId="5" xfId="0" applyNumberFormat="1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6" fontId="4" fillId="0" borderId="6" xfId="0" applyNumberFormat="1" applyFont="1" applyBorder="1" applyAlignment="1">
      <alignment horizontal="center" vertical="center"/>
    </xf>
    <xf numFmtId="167" fontId="4" fillId="0" borderId="6" xfId="0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167" fontId="4" fillId="0" borderId="7" xfId="0" applyNumberFormat="1" applyFont="1" applyBorder="1" applyAlignment="1">
      <alignment horizontal="center" vertical="center"/>
    </xf>
    <xf numFmtId="6" fontId="4" fillId="0" borderId="8" xfId="0" applyNumberFormat="1" applyFont="1" applyBorder="1" applyAlignment="1">
      <alignment horizontal="center" vertical="center"/>
    </xf>
    <xf numFmtId="167" fontId="4" fillId="0" borderId="15" xfId="0" applyNumberFormat="1" applyFont="1" applyBorder="1" applyAlignment="1">
      <alignment horizontal="center" vertical="center"/>
    </xf>
    <xf numFmtId="167" fontId="4" fillId="0" borderId="8" xfId="0" applyNumberFormat="1" applyFont="1" applyBorder="1" applyAlignment="1">
      <alignment horizontal="center" vertical="center"/>
    </xf>
    <xf numFmtId="167" fontId="4" fillId="0" borderId="9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10" fontId="4" fillId="0" borderId="15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67" fontId="4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67" fontId="8" fillId="0" borderId="0" xfId="0" applyNumberFormat="1" applyFont="1" applyFill="1" applyBorder="1" applyAlignment="1">
      <alignment horizontal="right" vertical="center" wrapText="1"/>
    </xf>
  </cellXfs>
  <cellStyles count="1">
    <cellStyle name="Normal" xfId="0" builtinId="0"/>
  </cellStyles>
  <dxfs count="3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4:K103"/>
  <sheetViews>
    <sheetView tabSelected="1" zoomScaleNormal="100" workbookViewId="0"/>
  </sheetViews>
  <sheetFormatPr defaultRowHeight="15" x14ac:dyDescent="0.25"/>
  <cols>
    <col min="3" max="3" width="30.7109375" customWidth="1"/>
    <col min="4" max="4" width="70.7109375" customWidth="1"/>
    <col min="6" max="6" width="11.85546875" bestFit="1" customWidth="1"/>
    <col min="8" max="8" width="15.7109375" customWidth="1"/>
    <col min="10" max="10" width="18.7109375" customWidth="1"/>
  </cols>
  <sheetData>
    <row r="4" spans="3:11" x14ac:dyDescent="0.25">
      <c r="C4" s="1"/>
      <c r="D4" s="2"/>
    </row>
    <row r="5" spans="3:11" ht="26.25" x14ac:dyDescent="0.25">
      <c r="C5" s="22" t="s">
        <v>4</v>
      </c>
      <c r="D5" s="25"/>
      <c r="E5" s="23"/>
      <c r="F5" s="23"/>
      <c r="G5" s="23"/>
      <c r="H5" s="23"/>
      <c r="I5" s="23"/>
      <c r="J5" s="24">
        <v>108000</v>
      </c>
    </row>
    <row r="6" spans="3:11" x14ac:dyDescent="0.25">
      <c r="C6" s="2"/>
      <c r="D6" s="2"/>
    </row>
    <row r="7" spans="3:11" x14ac:dyDescent="0.25">
      <c r="C7" s="6"/>
      <c r="D7" s="6"/>
      <c r="E7" s="7"/>
      <c r="F7" s="7"/>
      <c r="G7" s="7"/>
      <c r="H7" s="7"/>
      <c r="I7" s="7"/>
      <c r="J7" s="7"/>
      <c r="K7" s="7"/>
    </row>
    <row r="8" spans="3:11" x14ac:dyDescent="0.25">
      <c r="C8" s="6"/>
      <c r="D8" s="6"/>
      <c r="E8" s="7"/>
      <c r="F8" s="7"/>
      <c r="G8" s="7"/>
      <c r="H8" s="7"/>
      <c r="I8" s="7"/>
      <c r="J8" s="7"/>
      <c r="K8" s="7"/>
    </row>
    <row r="9" spans="3:11" x14ac:dyDescent="0.25">
      <c r="C9" s="6"/>
      <c r="D9" s="6"/>
      <c r="E9" s="7"/>
      <c r="F9" s="7"/>
      <c r="G9" s="7"/>
      <c r="H9" s="7"/>
      <c r="I9" s="7"/>
      <c r="J9" s="7"/>
      <c r="K9" s="7"/>
    </row>
    <row r="10" spans="3:11" ht="26.25" x14ac:dyDescent="0.25">
      <c r="C10" s="22" t="s">
        <v>5</v>
      </c>
      <c r="D10" s="25"/>
      <c r="E10" s="5"/>
      <c r="F10" s="5"/>
      <c r="G10" s="5"/>
      <c r="H10" s="5"/>
      <c r="I10" s="5"/>
      <c r="J10" s="26"/>
    </row>
    <row r="11" spans="3:11" ht="26.25" x14ac:dyDescent="0.25">
      <c r="C11" s="36" t="s">
        <v>0</v>
      </c>
      <c r="D11" s="36" t="s">
        <v>48</v>
      </c>
      <c r="E11" s="7"/>
      <c r="F11" s="7"/>
      <c r="G11" s="7"/>
      <c r="H11" s="7"/>
      <c r="I11" s="7"/>
      <c r="J11" s="8"/>
    </row>
    <row r="12" spans="3:11" ht="18.75" x14ac:dyDescent="0.3">
      <c r="C12" s="39">
        <v>1</v>
      </c>
      <c r="D12" s="35" t="s">
        <v>6</v>
      </c>
      <c r="E12" s="7"/>
      <c r="F12" s="12" t="s">
        <v>54</v>
      </c>
      <c r="G12" s="7"/>
      <c r="H12" s="13">
        <f>IFERROR(IF($F12="Yes",9000,0),0)</f>
        <v>9000</v>
      </c>
      <c r="I12" s="7"/>
      <c r="J12" s="14">
        <f>$H12</f>
        <v>9000</v>
      </c>
      <c r="K12" s="4"/>
    </row>
    <row r="13" spans="3:11" ht="18.75" x14ac:dyDescent="0.3">
      <c r="C13" s="39"/>
      <c r="D13" s="35"/>
      <c r="E13" s="7"/>
      <c r="F13" s="7"/>
      <c r="G13" s="7"/>
      <c r="H13" s="7"/>
      <c r="I13" s="7"/>
      <c r="J13" s="8"/>
    </row>
    <row r="14" spans="3:11" ht="37.5" x14ac:dyDescent="0.25">
      <c r="C14" s="35">
        <v>2</v>
      </c>
      <c r="D14" s="35" t="s">
        <v>52</v>
      </c>
      <c r="E14" s="7"/>
      <c r="F14" s="12" t="s">
        <v>55</v>
      </c>
      <c r="G14" s="7"/>
      <c r="H14" s="13">
        <v>0</v>
      </c>
      <c r="I14" s="7"/>
      <c r="J14" s="14">
        <f>IF(F14="No",0,$H14)</f>
        <v>0</v>
      </c>
    </row>
    <row r="15" spans="3:11" x14ac:dyDescent="0.25">
      <c r="C15" s="31"/>
      <c r="D15" s="41"/>
      <c r="E15" s="7"/>
      <c r="F15" s="7"/>
      <c r="G15" s="7"/>
      <c r="H15" s="7"/>
      <c r="I15" s="7"/>
      <c r="J15" s="8"/>
    </row>
    <row r="16" spans="3:11" ht="18.75" x14ac:dyDescent="0.3">
      <c r="C16" s="39">
        <v>3</v>
      </c>
      <c r="D16" s="35" t="s">
        <v>26</v>
      </c>
      <c r="E16" s="7"/>
      <c r="F16" s="12" t="s">
        <v>55</v>
      </c>
      <c r="G16" s="7"/>
      <c r="H16" s="13">
        <v>0</v>
      </c>
      <c r="I16" s="7"/>
      <c r="J16" s="14">
        <f>IF(F16="No",0,$H16)</f>
        <v>0</v>
      </c>
    </row>
    <row r="17" spans="3:10" x14ac:dyDescent="0.25">
      <c r="C17" s="31"/>
      <c r="D17" s="41"/>
      <c r="E17" s="7"/>
      <c r="F17" s="7"/>
      <c r="G17" s="7"/>
      <c r="H17" s="7"/>
      <c r="I17" s="7"/>
      <c r="J17" s="8"/>
    </row>
    <row r="18" spans="3:10" ht="18.75" x14ac:dyDescent="0.3">
      <c r="C18" s="40">
        <v>4</v>
      </c>
      <c r="D18" s="42" t="s">
        <v>28</v>
      </c>
      <c r="E18" s="20"/>
      <c r="F18" s="28" t="s">
        <v>55</v>
      </c>
      <c r="G18" s="20"/>
      <c r="H18" s="29">
        <f>IFERROR(IF($F18="Yes",2000,0),0)</f>
        <v>0</v>
      </c>
      <c r="I18" s="20"/>
      <c r="J18" s="30">
        <f>H18</f>
        <v>0</v>
      </c>
    </row>
    <row r="19" spans="3:10" x14ac:dyDescent="0.25">
      <c r="C19" s="7"/>
      <c r="D19" s="7"/>
      <c r="E19" s="7"/>
      <c r="F19" s="7"/>
      <c r="G19" s="7"/>
      <c r="H19" s="7"/>
      <c r="I19" s="7"/>
      <c r="J19" s="7"/>
    </row>
    <row r="20" spans="3:10" ht="26.25" x14ac:dyDescent="0.25">
      <c r="C20" s="32" t="s">
        <v>2</v>
      </c>
      <c r="D20" s="33" t="s">
        <v>44</v>
      </c>
      <c r="E20" s="5"/>
      <c r="F20" s="5"/>
      <c r="G20" s="5"/>
      <c r="H20" s="5"/>
      <c r="I20" s="5"/>
      <c r="J20" s="26"/>
    </row>
    <row r="21" spans="3:10" ht="18.75" x14ac:dyDescent="0.25">
      <c r="C21" s="15">
        <v>5</v>
      </c>
      <c r="D21" s="35" t="s">
        <v>13</v>
      </c>
      <c r="E21" s="7"/>
      <c r="F21" s="12" t="s">
        <v>61</v>
      </c>
      <c r="G21" s="7"/>
      <c r="H21" s="7"/>
      <c r="I21" s="7"/>
      <c r="J21" s="8"/>
    </row>
    <row r="22" spans="3:10" ht="18.75" x14ac:dyDescent="0.25">
      <c r="C22" s="17"/>
      <c r="D22" s="35" t="s">
        <v>17</v>
      </c>
      <c r="E22" s="7"/>
      <c r="F22" s="11" t="str">
        <f>IFERROR(IF($F$21="a","Yes",IF($F$21="c","Yes","No")),"N/A")</f>
        <v>No</v>
      </c>
      <c r="G22" s="7"/>
      <c r="H22" s="7"/>
      <c r="I22" s="7"/>
      <c r="J22" s="8"/>
    </row>
    <row r="23" spans="3:10" ht="56.25" x14ac:dyDescent="0.25">
      <c r="C23" s="17"/>
      <c r="D23" s="35" t="s">
        <v>18</v>
      </c>
      <c r="E23" s="7"/>
      <c r="F23" s="11" t="str">
        <f>IFERROR(IF($F$21="b","Yes",IF($F$21="c","Yes","No")),"N/A")</f>
        <v>No</v>
      </c>
      <c r="G23" s="7"/>
      <c r="H23" s="13">
        <v>0</v>
      </c>
      <c r="I23" s="7"/>
      <c r="J23" s="14">
        <f>IF(AND(F22="No",F23="No"),0,$H23)</f>
        <v>0</v>
      </c>
    </row>
    <row r="24" spans="3:10" x14ac:dyDescent="0.25">
      <c r="C24" s="18"/>
      <c r="D24" s="41"/>
      <c r="E24" s="7"/>
      <c r="F24" s="7"/>
      <c r="G24" s="7"/>
      <c r="H24" s="7"/>
      <c r="I24" s="7"/>
      <c r="J24" s="8"/>
    </row>
    <row r="25" spans="3:10" ht="37.5" x14ac:dyDescent="0.25">
      <c r="C25" s="15">
        <v>6</v>
      </c>
      <c r="D25" s="35" t="s">
        <v>25</v>
      </c>
      <c r="E25" s="7"/>
      <c r="F25" s="12" t="s">
        <v>55</v>
      </c>
      <c r="G25" s="7"/>
      <c r="H25" s="13">
        <v>0</v>
      </c>
      <c r="I25" s="7"/>
      <c r="J25" s="14">
        <f>IF(F25="No",0,$H25)</f>
        <v>0</v>
      </c>
    </row>
    <row r="26" spans="3:10" x14ac:dyDescent="0.25">
      <c r="C26" s="18"/>
      <c r="D26" s="41"/>
      <c r="E26" s="7"/>
      <c r="F26" s="7"/>
      <c r="G26" s="7"/>
      <c r="H26" s="7"/>
      <c r="I26" s="7"/>
      <c r="J26" s="8"/>
    </row>
    <row r="27" spans="3:10" ht="18.75" x14ac:dyDescent="0.25">
      <c r="C27" s="15">
        <v>7</v>
      </c>
      <c r="D27" s="35" t="s">
        <v>59</v>
      </c>
      <c r="E27" s="7"/>
      <c r="F27" s="12" t="s">
        <v>54</v>
      </c>
      <c r="G27" s="7"/>
      <c r="H27" s="13">
        <v>8000</v>
      </c>
      <c r="I27" s="7"/>
      <c r="J27" s="14">
        <f>IF(F27="No",0,$H27)</f>
        <v>8000</v>
      </c>
    </row>
    <row r="28" spans="3:10" x14ac:dyDescent="0.25">
      <c r="C28" s="18"/>
      <c r="D28" s="41"/>
      <c r="E28" s="7"/>
      <c r="F28" s="7"/>
      <c r="G28" s="7"/>
      <c r="H28" s="7"/>
      <c r="I28" s="7"/>
      <c r="J28" s="8"/>
    </row>
    <row r="29" spans="3:10" ht="37.5" x14ac:dyDescent="0.25">
      <c r="C29" s="15">
        <v>8</v>
      </c>
      <c r="D29" s="35" t="s">
        <v>60</v>
      </c>
      <c r="E29" s="7"/>
      <c r="F29" s="12" t="s">
        <v>54</v>
      </c>
      <c r="G29" s="7"/>
      <c r="H29" s="13">
        <f>IFERROR(IF($F29="Yes",2000,0),0)</f>
        <v>2000</v>
      </c>
      <c r="I29" s="7"/>
      <c r="J29" s="14">
        <f>H29</f>
        <v>2000</v>
      </c>
    </row>
    <row r="30" spans="3:10" x14ac:dyDescent="0.25">
      <c r="C30" s="18"/>
      <c r="D30" s="41"/>
      <c r="E30" s="7"/>
      <c r="F30" s="7"/>
      <c r="G30" s="7"/>
      <c r="H30" s="7"/>
      <c r="I30" s="7"/>
      <c r="J30" s="8"/>
    </row>
    <row r="31" spans="3:10" ht="18.75" x14ac:dyDescent="0.25">
      <c r="C31" s="15">
        <v>9</v>
      </c>
      <c r="D31" s="35" t="s">
        <v>29</v>
      </c>
      <c r="E31" s="7"/>
      <c r="F31" s="11"/>
      <c r="G31" s="7"/>
      <c r="H31" s="7"/>
      <c r="I31" s="7"/>
      <c r="J31" s="8"/>
    </row>
    <row r="32" spans="3:10" ht="56.25" x14ac:dyDescent="0.25">
      <c r="C32" s="15"/>
      <c r="D32" s="35" t="s">
        <v>31</v>
      </c>
      <c r="E32" s="7"/>
      <c r="F32" s="12" t="s">
        <v>54</v>
      </c>
      <c r="G32" s="7"/>
      <c r="H32" s="7"/>
      <c r="I32" s="7"/>
      <c r="J32" s="8"/>
    </row>
    <row r="33" spans="3:10" ht="56.25" x14ac:dyDescent="0.25">
      <c r="C33" s="15"/>
      <c r="D33" s="35" t="s">
        <v>30</v>
      </c>
      <c r="E33" s="7"/>
      <c r="F33" s="12" t="s">
        <v>55</v>
      </c>
      <c r="G33" s="7"/>
      <c r="H33" s="7"/>
      <c r="I33" s="7"/>
      <c r="J33" s="8"/>
    </row>
    <row r="34" spans="3:10" ht="37.5" x14ac:dyDescent="0.25">
      <c r="C34" s="34"/>
      <c r="D34" s="42" t="s">
        <v>32</v>
      </c>
      <c r="E34" s="20"/>
      <c r="F34" s="28" t="s">
        <v>54</v>
      </c>
      <c r="G34" s="20"/>
      <c r="H34" s="29">
        <f>IFERROR(IF(OR($F32="Yes",$F33="Yes",$F34="Yes"),8000,0),0)</f>
        <v>8000</v>
      </c>
      <c r="I34" s="20"/>
      <c r="J34" s="30">
        <f>H34</f>
        <v>8000</v>
      </c>
    </row>
    <row r="35" spans="3:10" x14ac:dyDescent="0.25">
      <c r="C35" s="7"/>
      <c r="D35" s="7"/>
      <c r="E35" s="7"/>
      <c r="F35" s="7"/>
      <c r="G35" s="7"/>
      <c r="H35" s="7"/>
      <c r="I35" s="7"/>
      <c r="J35" s="7"/>
    </row>
    <row r="36" spans="3:10" ht="26.25" x14ac:dyDescent="0.25">
      <c r="C36" s="32" t="s">
        <v>3</v>
      </c>
      <c r="D36" s="33" t="s">
        <v>45</v>
      </c>
      <c r="E36" s="5"/>
      <c r="F36" s="5"/>
      <c r="G36" s="5"/>
      <c r="H36" s="5"/>
      <c r="I36" s="5"/>
      <c r="J36" s="26"/>
    </row>
    <row r="37" spans="3:10" ht="18.75" x14ac:dyDescent="0.25">
      <c r="C37" s="15">
        <v>10</v>
      </c>
      <c r="D37" s="35" t="s">
        <v>7</v>
      </c>
      <c r="E37" s="7"/>
      <c r="F37" s="12" t="s">
        <v>57</v>
      </c>
      <c r="G37" s="7"/>
      <c r="H37" s="7"/>
      <c r="I37" s="7"/>
      <c r="J37" s="8"/>
    </row>
    <row r="38" spans="3:10" ht="18.75" x14ac:dyDescent="0.25">
      <c r="C38" s="17"/>
      <c r="D38" s="35" t="s">
        <v>16</v>
      </c>
      <c r="E38" s="7"/>
      <c r="F38" s="11" t="str">
        <f>IFERROR(IF($F$37="a","Yes","No"),"N/A")</f>
        <v>No</v>
      </c>
      <c r="G38" s="7"/>
      <c r="H38" s="13">
        <v>0</v>
      </c>
      <c r="I38" s="7"/>
      <c r="J38" s="14">
        <f>IF(F38="No",0,$H38)</f>
        <v>0</v>
      </c>
    </row>
    <row r="39" spans="3:10" ht="18.75" x14ac:dyDescent="0.25">
      <c r="C39" s="15"/>
      <c r="D39" s="45" t="s">
        <v>8</v>
      </c>
      <c r="E39" s="7"/>
      <c r="F39" s="7"/>
      <c r="G39" s="7"/>
      <c r="H39" s="7"/>
      <c r="I39" s="7"/>
      <c r="J39" s="8"/>
    </row>
    <row r="40" spans="3:10" ht="18.75" x14ac:dyDescent="0.25">
      <c r="C40" s="15"/>
      <c r="D40" s="46" t="s">
        <v>1</v>
      </c>
      <c r="E40" s="7"/>
      <c r="F40" s="12" t="s">
        <v>58</v>
      </c>
      <c r="G40" s="7"/>
      <c r="H40" s="7"/>
      <c r="I40" s="7"/>
      <c r="J40" s="8"/>
    </row>
    <row r="41" spans="3:10" ht="18.75" x14ac:dyDescent="0.25">
      <c r="C41" s="17"/>
      <c r="D41" s="35" t="s">
        <v>9</v>
      </c>
      <c r="E41" s="7"/>
      <c r="F41" s="3" t="str">
        <f>IFERROR(IF($F$40="M","Yes",IF($F$40="P","Yes","No")),"N/A")</f>
        <v>Yes</v>
      </c>
      <c r="G41" s="7"/>
      <c r="H41" s="13">
        <f>IFERROR(IF($F37="a",0,IF($F41="Yes",1500,0)),0)</f>
        <v>1500</v>
      </c>
      <c r="I41" s="7"/>
      <c r="J41" s="14">
        <f>IF(OR(F37="a",F37="c"),0,SUM($H41:$H42))</f>
        <v>1500</v>
      </c>
    </row>
    <row r="42" spans="3:10" ht="18.75" x14ac:dyDescent="0.25">
      <c r="C42" s="15"/>
      <c r="D42" s="35" t="s">
        <v>10</v>
      </c>
      <c r="E42" s="7"/>
      <c r="F42" s="3" t="str">
        <f>IFERROR(IF($F$40="F","Yes",IF($F$40="P","Yes","No")),"N/A")</f>
        <v>No</v>
      </c>
      <c r="G42" s="7"/>
      <c r="H42" s="13">
        <f>IFERROR(IF($F37="a",0,IF($F42="Yes",1500,0)),0)</f>
        <v>0</v>
      </c>
      <c r="I42" s="7"/>
      <c r="J42" s="8"/>
    </row>
    <row r="43" spans="3:10" x14ac:dyDescent="0.25">
      <c r="C43" s="18"/>
      <c r="D43" s="41"/>
      <c r="E43" s="7"/>
      <c r="F43" s="7"/>
      <c r="G43" s="7"/>
      <c r="H43" s="7"/>
      <c r="I43" s="7"/>
      <c r="J43" s="8"/>
    </row>
    <row r="44" spans="3:10" ht="18.75" x14ac:dyDescent="0.25">
      <c r="C44" s="15">
        <v>11</v>
      </c>
      <c r="D44" s="35" t="s">
        <v>14</v>
      </c>
      <c r="E44" s="7"/>
      <c r="F44" s="12" t="s">
        <v>55</v>
      </c>
      <c r="G44" s="7"/>
      <c r="H44" s="13">
        <v>0</v>
      </c>
      <c r="I44" s="7"/>
      <c r="J44" s="8"/>
    </row>
    <row r="45" spans="3:10" ht="18.75" x14ac:dyDescent="0.25">
      <c r="C45" s="15">
        <v>12</v>
      </c>
      <c r="D45" s="35" t="s">
        <v>15</v>
      </c>
      <c r="E45" s="7"/>
      <c r="F45" s="12" t="s">
        <v>55</v>
      </c>
      <c r="G45" s="7"/>
      <c r="H45" s="13">
        <v>0</v>
      </c>
      <c r="I45" s="7"/>
      <c r="J45" s="8"/>
    </row>
    <row r="46" spans="3:10" ht="37.5" x14ac:dyDescent="0.25">
      <c r="C46" s="34">
        <v>13</v>
      </c>
      <c r="D46" s="42" t="s">
        <v>40</v>
      </c>
      <c r="E46" s="20"/>
      <c r="F46" s="28" t="s">
        <v>55</v>
      </c>
      <c r="G46" s="20"/>
      <c r="H46" s="29">
        <v>0</v>
      </c>
      <c r="I46" s="20"/>
      <c r="J46" s="30">
        <f>IF(F46="No",0,SUM($H44:$H46))</f>
        <v>0</v>
      </c>
    </row>
    <row r="47" spans="3:10" x14ac:dyDescent="0.25">
      <c r="C47" s="7"/>
      <c r="D47" s="7"/>
      <c r="E47" s="7"/>
      <c r="F47" s="7"/>
      <c r="G47" s="7"/>
      <c r="H47" s="7"/>
      <c r="I47" s="7"/>
      <c r="J47" s="7"/>
    </row>
    <row r="48" spans="3:10" ht="26.25" x14ac:dyDescent="0.25">
      <c r="C48" s="32" t="s">
        <v>46</v>
      </c>
      <c r="D48" s="33" t="s">
        <v>53</v>
      </c>
      <c r="E48" s="5"/>
      <c r="F48" s="5"/>
      <c r="G48" s="5"/>
      <c r="H48" s="5"/>
      <c r="I48" s="5"/>
      <c r="J48" s="26"/>
    </row>
    <row r="49" spans="3:10" ht="37.5" x14ac:dyDescent="0.25">
      <c r="C49" s="15">
        <v>14</v>
      </c>
      <c r="D49" s="35" t="s">
        <v>19</v>
      </c>
      <c r="E49" s="7"/>
      <c r="F49" s="7"/>
      <c r="G49" s="7"/>
      <c r="H49" s="7"/>
      <c r="I49" s="7"/>
      <c r="J49" s="8"/>
    </row>
    <row r="50" spans="3:10" ht="56.25" x14ac:dyDescent="0.3">
      <c r="C50" s="10"/>
      <c r="D50" s="35" t="s">
        <v>20</v>
      </c>
      <c r="E50" s="7"/>
      <c r="F50" s="12" t="s">
        <v>55</v>
      </c>
      <c r="G50" s="7"/>
      <c r="H50" s="7"/>
      <c r="I50" s="7"/>
      <c r="J50" s="8"/>
    </row>
    <row r="51" spans="3:10" ht="37.5" x14ac:dyDescent="0.3">
      <c r="C51" s="10"/>
      <c r="D51" s="35" t="s">
        <v>21</v>
      </c>
      <c r="E51" s="7"/>
      <c r="F51" s="12" t="s">
        <v>55</v>
      </c>
      <c r="G51" s="7"/>
      <c r="H51" s="7"/>
      <c r="I51" s="7"/>
      <c r="J51" s="8"/>
    </row>
    <row r="52" spans="3:10" ht="56.25" x14ac:dyDescent="0.3">
      <c r="C52" s="10"/>
      <c r="D52" s="35" t="s">
        <v>22</v>
      </c>
      <c r="E52" s="7"/>
      <c r="F52" s="12" t="s">
        <v>55</v>
      </c>
      <c r="G52" s="7"/>
      <c r="H52" s="7"/>
      <c r="I52" s="7"/>
      <c r="J52" s="8"/>
    </row>
    <row r="53" spans="3:10" ht="37.5" x14ac:dyDescent="0.3">
      <c r="C53" s="10"/>
      <c r="D53" s="35" t="s">
        <v>23</v>
      </c>
      <c r="E53" s="7"/>
      <c r="F53" s="12" t="s">
        <v>54</v>
      </c>
      <c r="G53" s="7"/>
      <c r="H53" s="13">
        <v>500</v>
      </c>
      <c r="I53" s="7"/>
      <c r="J53" s="14">
        <f>IF(F53="No",0,$H53)</f>
        <v>500</v>
      </c>
    </row>
    <row r="54" spans="3:10" ht="18.75" x14ac:dyDescent="0.3">
      <c r="C54" s="10"/>
      <c r="D54" s="35"/>
      <c r="E54" s="7"/>
      <c r="F54" s="7"/>
      <c r="G54" s="7"/>
      <c r="H54" s="7"/>
      <c r="I54" s="7"/>
      <c r="J54" s="8"/>
    </row>
    <row r="55" spans="3:10" ht="37.5" x14ac:dyDescent="0.25">
      <c r="C55" s="34">
        <v>15</v>
      </c>
      <c r="D55" s="42" t="s">
        <v>24</v>
      </c>
      <c r="E55" s="20"/>
      <c r="F55" s="28" t="s">
        <v>55</v>
      </c>
      <c r="G55" s="20"/>
      <c r="H55" s="29">
        <v>0</v>
      </c>
      <c r="I55" s="20"/>
      <c r="J55" s="30">
        <f>IF(F55="No",0,$H55)</f>
        <v>0</v>
      </c>
    </row>
    <row r="56" spans="3:10" x14ac:dyDescent="0.25">
      <c r="C56" s="7"/>
      <c r="D56" s="7"/>
      <c r="E56" s="7"/>
      <c r="F56" s="7"/>
      <c r="G56" s="7"/>
      <c r="H56" s="7"/>
      <c r="I56" s="7"/>
      <c r="J56" s="7"/>
    </row>
    <row r="57" spans="3:10" ht="26.25" x14ac:dyDescent="0.25">
      <c r="C57" s="32" t="s">
        <v>49</v>
      </c>
      <c r="D57" s="33" t="s">
        <v>47</v>
      </c>
      <c r="E57" s="43"/>
      <c r="F57" s="5"/>
      <c r="G57" s="5"/>
      <c r="H57" s="5"/>
      <c r="I57" s="5"/>
      <c r="J57" s="26"/>
    </row>
    <row r="58" spans="3:10" ht="37.5" x14ac:dyDescent="0.25">
      <c r="C58" s="15">
        <v>16</v>
      </c>
      <c r="D58" s="35" t="s">
        <v>11</v>
      </c>
      <c r="E58" s="16"/>
      <c r="F58" s="12" t="s">
        <v>55</v>
      </c>
      <c r="G58" s="7"/>
      <c r="H58" s="13">
        <v>0</v>
      </c>
      <c r="I58" s="7"/>
      <c r="J58" s="14">
        <f>IF(F58="No",0,$H58)</f>
        <v>0</v>
      </c>
    </row>
    <row r="59" spans="3:10" ht="18.75" x14ac:dyDescent="0.3">
      <c r="C59" s="10"/>
      <c r="D59" s="35"/>
      <c r="E59" s="16"/>
      <c r="F59" s="7"/>
      <c r="G59" s="7"/>
      <c r="H59" s="7"/>
      <c r="I59" s="7"/>
      <c r="J59" s="8"/>
    </row>
    <row r="60" spans="3:10" ht="18.75" x14ac:dyDescent="0.3">
      <c r="C60" s="10">
        <v>17</v>
      </c>
      <c r="D60" s="35" t="s">
        <v>12</v>
      </c>
      <c r="E60" s="16"/>
      <c r="F60" s="12" t="s">
        <v>55</v>
      </c>
      <c r="G60" s="7"/>
      <c r="H60" s="13">
        <f>IFERROR(IF($F60="Yes",6000,0),0)</f>
        <v>0</v>
      </c>
      <c r="I60" s="7"/>
      <c r="J60" s="14">
        <f>H60</f>
        <v>0</v>
      </c>
    </row>
    <row r="61" spans="3:10" ht="18.75" x14ac:dyDescent="0.3">
      <c r="C61" s="10"/>
      <c r="D61" s="35"/>
      <c r="E61" s="16"/>
      <c r="F61" s="7"/>
      <c r="G61" s="7"/>
      <c r="H61" s="7"/>
      <c r="I61" s="7"/>
      <c r="J61" s="8"/>
    </row>
    <row r="62" spans="3:10" ht="18.75" x14ac:dyDescent="0.3">
      <c r="C62" s="10">
        <v>18</v>
      </c>
      <c r="D62" s="35" t="s">
        <v>27</v>
      </c>
      <c r="E62" s="16"/>
      <c r="F62" s="12" t="s">
        <v>55</v>
      </c>
      <c r="G62" s="7"/>
      <c r="H62" s="13">
        <f>IFERROR(IF($F62="Yes",3500,0),0)</f>
        <v>0</v>
      </c>
      <c r="I62" s="7"/>
      <c r="J62" s="14">
        <f>H62</f>
        <v>0</v>
      </c>
    </row>
    <row r="63" spans="3:10" ht="18.75" x14ac:dyDescent="0.3">
      <c r="C63" s="10"/>
      <c r="D63" s="35"/>
      <c r="E63" s="16"/>
      <c r="F63" s="7"/>
      <c r="G63" s="7"/>
      <c r="H63" s="7"/>
      <c r="I63" s="7"/>
      <c r="J63" s="8"/>
    </row>
    <row r="64" spans="3:10" ht="18.75" x14ac:dyDescent="0.3">
      <c r="C64" s="10">
        <v>19</v>
      </c>
      <c r="D64" s="35" t="s">
        <v>33</v>
      </c>
      <c r="E64" s="16"/>
      <c r="F64" s="12" t="s">
        <v>55</v>
      </c>
      <c r="G64" s="7"/>
      <c r="H64" s="13">
        <f>IFERROR(IF($F64="Yes",6000,0),0)</f>
        <v>0</v>
      </c>
      <c r="I64" s="7"/>
      <c r="J64" s="14">
        <f>H64</f>
        <v>0</v>
      </c>
    </row>
    <row r="65" spans="3:10" ht="93.75" x14ac:dyDescent="0.3">
      <c r="C65" s="27"/>
      <c r="D65" s="42" t="s">
        <v>34</v>
      </c>
      <c r="E65" s="44"/>
      <c r="F65" s="28" t="s">
        <v>55</v>
      </c>
      <c r="G65" s="20"/>
      <c r="H65" s="29">
        <f>IFERROR(IF($F65="Yes",8000,0),0)</f>
        <v>0</v>
      </c>
      <c r="I65" s="20"/>
      <c r="J65" s="30">
        <f>H65</f>
        <v>0</v>
      </c>
    </row>
    <row r="66" spans="3:10" x14ac:dyDescent="0.25">
      <c r="C66" s="7"/>
      <c r="D66" s="7"/>
      <c r="E66" s="7"/>
      <c r="F66" s="7"/>
      <c r="G66" s="7"/>
      <c r="H66" s="7"/>
      <c r="I66" s="7"/>
      <c r="J66" s="7"/>
    </row>
    <row r="67" spans="3:10" ht="26.25" x14ac:dyDescent="0.25">
      <c r="C67" s="32" t="s">
        <v>50</v>
      </c>
      <c r="D67" s="33" t="s">
        <v>51</v>
      </c>
      <c r="E67" s="5"/>
      <c r="F67" s="5"/>
      <c r="G67" s="5"/>
      <c r="H67" s="5"/>
      <c r="I67" s="5"/>
      <c r="J67" s="26"/>
    </row>
    <row r="68" spans="3:10" ht="37.5" x14ac:dyDescent="0.25">
      <c r="C68" s="15">
        <v>20</v>
      </c>
      <c r="D68" s="35" t="s">
        <v>41</v>
      </c>
      <c r="E68" s="7"/>
      <c r="F68" s="12" t="s">
        <v>57</v>
      </c>
      <c r="G68" s="7"/>
      <c r="H68" s="7"/>
      <c r="I68" s="7"/>
      <c r="J68" s="8"/>
    </row>
    <row r="69" spans="3:10" ht="37.5" x14ac:dyDescent="0.25">
      <c r="C69" s="15"/>
      <c r="D69" s="35" t="s">
        <v>35</v>
      </c>
      <c r="E69" s="7"/>
      <c r="F69" s="11" t="str">
        <f>IFERROR(IF($F$68="a","Yes",IF($F$68="c","Yes","No")),"N/A")</f>
        <v>No</v>
      </c>
      <c r="G69" s="7"/>
      <c r="H69" s="7"/>
      <c r="I69" s="7"/>
      <c r="J69" s="8"/>
    </row>
    <row r="70" spans="3:10" ht="75" x14ac:dyDescent="0.25">
      <c r="C70" s="15"/>
      <c r="D70" s="35" t="s">
        <v>42</v>
      </c>
      <c r="E70" s="7"/>
      <c r="F70" s="11" t="str">
        <f>IFERROR(IF($F$68="b","Yes",IF($F$68="c","Yes","No")),"N/A")</f>
        <v>Yes</v>
      </c>
      <c r="G70" s="7"/>
      <c r="H70" s="13">
        <v>7000</v>
      </c>
      <c r="I70" s="7"/>
      <c r="J70" s="14">
        <f>IF(AND(F69="No",F70="No"),0,$H70)</f>
        <v>7000</v>
      </c>
    </row>
    <row r="71" spans="3:10" ht="18.75" x14ac:dyDescent="0.25">
      <c r="C71" s="15"/>
      <c r="D71" s="35"/>
      <c r="E71" s="7"/>
      <c r="F71" s="7"/>
      <c r="G71" s="7"/>
      <c r="H71" s="7"/>
      <c r="I71" s="7"/>
      <c r="J71" s="8"/>
    </row>
    <row r="72" spans="3:10" ht="37.5" x14ac:dyDescent="0.25">
      <c r="C72" s="15">
        <v>21</v>
      </c>
      <c r="D72" s="35" t="s">
        <v>36</v>
      </c>
      <c r="E72" s="7"/>
      <c r="F72" s="12" t="s">
        <v>54</v>
      </c>
      <c r="G72" s="7"/>
      <c r="H72" s="13">
        <v>3000</v>
      </c>
      <c r="I72" s="7"/>
      <c r="J72" s="14">
        <f>IF(F72="No",0,$H72)</f>
        <v>3000</v>
      </c>
    </row>
    <row r="73" spans="3:10" ht="18.75" x14ac:dyDescent="0.25">
      <c r="C73" s="15"/>
      <c r="D73" s="35"/>
      <c r="E73" s="7"/>
      <c r="F73" s="7"/>
      <c r="G73" s="7"/>
      <c r="H73" s="7"/>
      <c r="I73" s="7"/>
      <c r="J73" s="8"/>
    </row>
    <row r="74" spans="3:10" ht="37.5" x14ac:dyDescent="0.25">
      <c r="C74" s="17">
        <v>22</v>
      </c>
      <c r="D74" s="35" t="s">
        <v>43</v>
      </c>
      <c r="E74" s="7"/>
      <c r="F74" s="12" t="s">
        <v>54</v>
      </c>
      <c r="G74" s="7"/>
      <c r="H74" s="13">
        <v>3000</v>
      </c>
      <c r="I74" s="7"/>
      <c r="J74" s="14">
        <f>IF(F74="No",0,$H74)</f>
        <v>3000</v>
      </c>
    </row>
    <row r="75" spans="3:10" ht="18.75" x14ac:dyDescent="0.25">
      <c r="C75" s="15"/>
      <c r="D75" s="45"/>
      <c r="E75" s="7"/>
      <c r="F75" s="7"/>
      <c r="G75" s="7"/>
      <c r="H75" s="7"/>
      <c r="I75" s="7"/>
      <c r="J75" s="8"/>
    </row>
    <row r="76" spans="3:10" ht="18.75" x14ac:dyDescent="0.25">
      <c r="C76" s="15">
        <v>23</v>
      </c>
      <c r="D76" s="46" t="s">
        <v>37</v>
      </c>
      <c r="E76" s="7"/>
      <c r="F76" s="12" t="s">
        <v>54</v>
      </c>
      <c r="G76" s="7"/>
      <c r="H76" s="13">
        <v>250</v>
      </c>
      <c r="I76" s="7"/>
      <c r="J76" s="14">
        <f>IF(F76="No",0,$H76)</f>
        <v>250</v>
      </c>
    </row>
    <row r="77" spans="3:10" ht="18.75" x14ac:dyDescent="0.25">
      <c r="C77" s="17"/>
      <c r="D77" s="35"/>
      <c r="E77" s="7"/>
      <c r="F77" s="7"/>
      <c r="G77" s="7"/>
      <c r="H77" s="7"/>
      <c r="I77" s="7"/>
      <c r="J77" s="8"/>
    </row>
    <row r="78" spans="3:10" ht="56.25" x14ac:dyDescent="0.25">
      <c r="C78" s="15">
        <v>24</v>
      </c>
      <c r="D78" s="35" t="s">
        <v>38</v>
      </c>
      <c r="E78" s="7"/>
      <c r="F78" s="12" t="s">
        <v>55</v>
      </c>
      <c r="G78" s="7"/>
      <c r="H78" s="13">
        <v>0</v>
      </c>
      <c r="I78" s="7"/>
      <c r="J78" s="14">
        <f>IF(F78="No",0,$H78)</f>
        <v>0</v>
      </c>
    </row>
    <row r="79" spans="3:10" ht="75" x14ac:dyDescent="0.25">
      <c r="C79" s="34"/>
      <c r="D79" s="47" t="s">
        <v>39</v>
      </c>
      <c r="E79" s="20"/>
      <c r="F79" s="20"/>
      <c r="G79" s="20"/>
      <c r="H79" s="20"/>
      <c r="I79" s="20"/>
      <c r="J79" s="21"/>
    </row>
    <row r="80" spans="3:10" ht="18.75" x14ac:dyDescent="0.25">
      <c r="C80" s="11"/>
      <c r="D80" s="19"/>
      <c r="E80" s="7"/>
      <c r="F80" s="7"/>
      <c r="G80" s="7"/>
      <c r="H80" s="7"/>
      <c r="I80" s="7"/>
      <c r="J80" s="7"/>
    </row>
    <row r="81" spans="3:10" ht="18.75" x14ac:dyDescent="0.25">
      <c r="C81" s="11"/>
      <c r="D81" s="19"/>
      <c r="E81" s="7"/>
      <c r="F81" s="7"/>
      <c r="G81" s="7"/>
      <c r="H81" s="7"/>
      <c r="I81" s="7"/>
      <c r="J81" s="7"/>
    </row>
    <row r="82" spans="3:10" x14ac:dyDescent="0.25">
      <c r="C82" s="7"/>
      <c r="D82" s="7"/>
      <c r="E82" s="7"/>
      <c r="F82" s="7"/>
      <c r="G82" s="7"/>
      <c r="H82" s="7"/>
      <c r="I82" s="7"/>
      <c r="J82" s="7"/>
    </row>
    <row r="83" spans="3:10" x14ac:dyDescent="0.25">
      <c r="C83" s="7"/>
      <c r="D83" s="7"/>
      <c r="E83" s="7"/>
      <c r="F83" s="7"/>
      <c r="G83" s="7"/>
      <c r="H83" s="7"/>
      <c r="I83" s="7"/>
      <c r="J83" s="7"/>
    </row>
    <row r="84" spans="3:10" ht="26.25" x14ac:dyDescent="0.25">
      <c r="C84" s="9" t="s">
        <v>64</v>
      </c>
      <c r="D84" s="9" t="s">
        <v>64</v>
      </c>
      <c r="E84" s="7"/>
      <c r="F84" s="7"/>
      <c r="G84" s="7"/>
      <c r="H84" s="7"/>
      <c r="I84" s="7"/>
      <c r="J84" s="37">
        <f>SUM(J12:J79)</f>
        <v>42250</v>
      </c>
    </row>
    <row r="85" spans="3:10" x14ac:dyDescent="0.25">
      <c r="C85" s="7"/>
      <c r="D85" s="7"/>
      <c r="E85" s="7"/>
      <c r="F85" s="7"/>
      <c r="G85" s="7"/>
      <c r="H85" s="7"/>
      <c r="I85" s="7"/>
      <c r="J85" s="7"/>
    </row>
    <row r="86" spans="3:10" ht="26.25" x14ac:dyDescent="0.25">
      <c r="C86" s="9" t="s">
        <v>63</v>
      </c>
      <c r="D86" s="9" t="s">
        <v>63</v>
      </c>
      <c r="E86" s="7"/>
      <c r="F86" s="7"/>
      <c r="G86" s="7"/>
      <c r="H86" s="7"/>
      <c r="I86" s="7"/>
      <c r="J86" s="38">
        <f>IF(J5-J84&lt;0,0,J5-J84)</f>
        <v>65750</v>
      </c>
    </row>
    <row r="88" spans="3:10" ht="18.75" x14ac:dyDescent="0.25">
      <c r="C88" s="48" t="s">
        <v>63</v>
      </c>
      <c r="D88" s="49" t="s">
        <v>80</v>
      </c>
      <c r="E88" s="50" t="s">
        <v>79</v>
      </c>
      <c r="F88" s="51"/>
      <c r="G88" s="52"/>
      <c r="H88" s="49" t="s">
        <v>81</v>
      </c>
      <c r="I88" s="53"/>
      <c r="J88" s="49" t="s">
        <v>78</v>
      </c>
    </row>
    <row r="89" spans="3:10" ht="18.75" x14ac:dyDescent="0.25">
      <c r="C89" s="54" t="s">
        <v>65</v>
      </c>
      <c r="D89" s="55">
        <f>IF($J$86-5000&gt;0,$J$86-($J$86-5000),$J$86)</f>
        <v>5000</v>
      </c>
      <c r="E89" s="56">
        <f>$J$86-$D89</f>
        <v>60750</v>
      </c>
      <c r="F89" s="57"/>
      <c r="G89" s="58"/>
      <c r="H89" s="59">
        <v>0</v>
      </c>
      <c r="I89" s="60"/>
      <c r="J89" s="55">
        <f>D89*H89</f>
        <v>0</v>
      </c>
    </row>
    <row r="90" spans="3:10" ht="18.75" x14ac:dyDescent="0.25">
      <c r="C90" s="61" t="s">
        <v>66</v>
      </c>
      <c r="D90" s="55">
        <f>IF($E89-15000&gt;0,$E89-($E89-15000),$E89)</f>
        <v>15000</v>
      </c>
      <c r="E90" s="62">
        <f>$E89-$D90</f>
        <v>45750</v>
      </c>
      <c r="F90" s="63"/>
      <c r="G90" s="64"/>
      <c r="H90" s="59">
        <v>0.01</v>
      </c>
      <c r="I90" s="60"/>
      <c r="J90" s="55">
        <f t="shared" ref="J90:J100" si="0">D90*H90</f>
        <v>150</v>
      </c>
    </row>
    <row r="91" spans="3:10" ht="18.75" x14ac:dyDescent="0.25">
      <c r="C91" s="61" t="s">
        <v>67</v>
      </c>
      <c r="D91" s="55">
        <f>IF($E90-15000&gt;0,$E90-($E90-15000),$E90)</f>
        <v>15000</v>
      </c>
      <c r="E91" s="62">
        <f>$E90-$D91</f>
        <v>30750</v>
      </c>
      <c r="F91" s="63"/>
      <c r="G91" s="64"/>
      <c r="H91" s="59">
        <v>0.03</v>
      </c>
      <c r="I91" s="60"/>
      <c r="J91" s="55">
        <f t="shared" si="0"/>
        <v>450</v>
      </c>
    </row>
    <row r="92" spans="3:10" ht="18.75" x14ac:dyDescent="0.25">
      <c r="C92" s="54" t="s">
        <v>68</v>
      </c>
      <c r="D92" s="55">
        <f>IF($E91-15000&gt;0,$E91-($E91-15000),$E91)</f>
        <v>15000</v>
      </c>
      <c r="E92" s="62">
        <f>$E91-$D92</f>
        <v>15750</v>
      </c>
      <c r="F92" s="63"/>
      <c r="G92" s="64"/>
      <c r="H92" s="59">
        <v>0.08</v>
      </c>
      <c r="I92" s="60"/>
      <c r="J92" s="55">
        <f t="shared" si="0"/>
        <v>1200</v>
      </c>
    </row>
    <row r="93" spans="3:10" ht="18.75" x14ac:dyDescent="0.25">
      <c r="C93" s="61" t="s">
        <v>69</v>
      </c>
      <c r="D93" s="55">
        <f>IF($E92-20000&gt;0,$E92-($E92-20000),$E92)</f>
        <v>15750</v>
      </c>
      <c r="E93" s="62">
        <f>$E92-$D93</f>
        <v>0</v>
      </c>
      <c r="F93" s="63"/>
      <c r="G93" s="64"/>
      <c r="H93" s="59">
        <v>0.14000000000000001</v>
      </c>
      <c r="I93" s="60"/>
      <c r="J93" s="55">
        <f t="shared" si="0"/>
        <v>2205</v>
      </c>
    </row>
    <row r="94" spans="3:10" ht="18.75" x14ac:dyDescent="0.25">
      <c r="C94" s="61" t="s">
        <v>70</v>
      </c>
      <c r="D94" s="55">
        <f>IF($E93-30000&gt;0,$E93-($E93-30000),$E93)</f>
        <v>0</v>
      </c>
      <c r="E94" s="62">
        <f>$E93-$D94</f>
        <v>0</v>
      </c>
      <c r="F94" s="63"/>
      <c r="G94" s="64"/>
      <c r="H94" s="59">
        <v>0.21</v>
      </c>
      <c r="I94" s="60"/>
      <c r="J94" s="55">
        <f t="shared" si="0"/>
        <v>0</v>
      </c>
    </row>
    <row r="95" spans="3:10" ht="18.75" x14ac:dyDescent="0.25">
      <c r="C95" s="54" t="s">
        <v>71</v>
      </c>
      <c r="D95" s="55">
        <f>IF($E94-150000&gt;0,$E94-($E94-150000),$E94)</f>
        <v>0</v>
      </c>
      <c r="E95" s="62">
        <f>$E94-$D95</f>
        <v>0</v>
      </c>
      <c r="F95" s="63"/>
      <c r="G95" s="64"/>
      <c r="H95" s="59">
        <v>0.24</v>
      </c>
      <c r="I95" s="60"/>
      <c r="J95" s="55">
        <f>D95*H95</f>
        <v>0</v>
      </c>
    </row>
    <row r="96" spans="3:10" ht="18.75" x14ac:dyDescent="0.25">
      <c r="C96" s="61" t="s">
        <v>72</v>
      </c>
      <c r="D96" s="55">
        <f>IF($E95-150000&gt;0,$E95-($E95-150000),$E95)</f>
        <v>0</v>
      </c>
      <c r="E96" s="62">
        <f>$E95-$D96</f>
        <v>0</v>
      </c>
      <c r="F96" s="63"/>
      <c r="G96" s="64"/>
      <c r="H96" s="59">
        <v>0.245</v>
      </c>
      <c r="I96" s="60"/>
      <c r="J96" s="55">
        <f t="shared" si="0"/>
        <v>0</v>
      </c>
    </row>
    <row r="97" spans="3:10" ht="18.75" x14ac:dyDescent="0.25">
      <c r="C97" s="61" t="s">
        <v>73</v>
      </c>
      <c r="D97" s="55">
        <f>IF($E96-200000&gt;0,$E96-($E96-200000),$E96)</f>
        <v>0</v>
      </c>
      <c r="E97" s="62">
        <f>$E96-$D97</f>
        <v>0</v>
      </c>
      <c r="F97" s="63"/>
      <c r="G97" s="64"/>
      <c r="H97" s="59">
        <v>0.25</v>
      </c>
      <c r="I97" s="60"/>
      <c r="J97" s="55">
        <f t="shared" si="0"/>
        <v>0</v>
      </c>
    </row>
    <row r="98" spans="3:10" ht="18.75" x14ac:dyDescent="0.25">
      <c r="C98" s="54" t="s">
        <v>74</v>
      </c>
      <c r="D98" s="55">
        <f>IF($E97-400000&gt;0,$E97-($E97-400000),$E97)</f>
        <v>0</v>
      </c>
      <c r="E98" s="62">
        <f>$E97-$D98</f>
        <v>0</v>
      </c>
      <c r="F98" s="63"/>
      <c r="G98" s="64"/>
      <c r="H98" s="59">
        <v>0.26</v>
      </c>
      <c r="I98" s="60"/>
      <c r="J98" s="55">
        <f t="shared" si="0"/>
        <v>0</v>
      </c>
    </row>
    <row r="99" spans="3:10" ht="18.75" x14ac:dyDescent="0.25">
      <c r="C99" s="61" t="s">
        <v>75</v>
      </c>
      <c r="D99" s="55">
        <f>IF($E98-1000000&gt;0,$E98-($E98-1000000),$E98)</f>
        <v>0</v>
      </c>
      <c r="E99" s="62">
        <f>$E98-$D99</f>
        <v>0</v>
      </c>
      <c r="F99" s="63"/>
      <c r="G99" s="64"/>
      <c r="H99" s="59">
        <v>0.28000000000000003</v>
      </c>
      <c r="I99" s="60"/>
      <c r="J99" s="55">
        <f t="shared" si="0"/>
        <v>0</v>
      </c>
    </row>
    <row r="100" spans="3:10" ht="18.75" x14ac:dyDescent="0.25">
      <c r="C100" s="65" t="s">
        <v>76</v>
      </c>
      <c r="D100" s="66">
        <f>$E99</f>
        <v>0</v>
      </c>
      <c r="E100" s="67">
        <f>$E99-$D100</f>
        <v>0</v>
      </c>
      <c r="F100" s="68"/>
      <c r="G100" s="69"/>
      <c r="H100" s="70">
        <v>0.3</v>
      </c>
      <c r="I100" s="71"/>
      <c r="J100" s="66">
        <f t="shared" si="0"/>
        <v>0</v>
      </c>
    </row>
    <row r="101" spans="3:10" ht="18.75" x14ac:dyDescent="0.25">
      <c r="C101" s="48" t="s">
        <v>77</v>
      </c>
      <c r="D101" s="49"/>
      <c r="E101" s="50"/>
      <c r="F101" s="51"/>
      <c r="G101" s="52"/>
      <c r="H101" s="49"/>
      <c r="I101" s="53"/>
      <c r="J101" s="73">
        <f>SUM(J89:J100)</f>
        <v>4005</v>
      </c>
    </row>
    <row r="103" spans="3:10" ht="26.25" x14ac:dyDescent="0.25">
      <c r="C103" s="9" t="s">
        <v>82</v>
      </c>
      <c r="D103" s="9"/>
      <c r="E103" s="7"/>
      <c r="F103" s="7"/>
      <c r="G103" s="7"/>
      <c r="H103" s="7"/>
      <c r="I103" s="7"/>
      <c r="J103" s="74">
        <f>J86-J101</f>
        <v>61745</v>
      </c>
    </row>
  </sheetData>
  <dataConsolidate/>
  <mergeCells count="19">
    <mergeCell ref="C103:D103"/>
    <mergeCell ref="E96:G96"/>
    <mergeCell ref="E97:G97"/>
    <mergeCell ref="E98:G98"/>
    <mergeCell ref="E99:G99"/>
    <mergeCell ref="E100:G100"/>
    <mergeCell ref="E101:G101"/>
    <mergeCell ref="E90:G90"/>
    <mergeCell ref="E91:G91"/>
    <mergeCell ref="E92:G92"/>
    <mergeCell ref="E93:G93"/>
    <mergeCell ref="E94:G94"/>
    <mergeCell ref="E95:G95"/>
    <mergeCell ref="C5:D5"/>
    <mergeCell ref="C10:D10"/>
    <mergeCell ref="C84:D84"/>
    <mergeCell ref="C86:D86"/>
    <mergeCell ref="E88:G88"/>
    <mergeCell ref="E89:G89"/>
  </mergeCells>
  <conditionalFormatting sqref="F40:F42">
    <cfRule type="expression" dxfId="35" priority="19">
      <formula>OR($F$37="a",$F$37="c")</formula>
    </cfRule>
  </conditionalFormatting>
  <conditionalFormatting sqref="H38">
    <cfRule type="expression" dxfId="34" priority="18">
      <formula>$F$38="Yes"</formula>
    </cfRule>
  </conditionalFormatting>
  <conditionalFormatting sqref="H14">
    <cfRule type="expression" dxfId="33" priority="17">
      <formula>$F14="Yes"</formula>
    </cfRule>
  </conditionalFormatting>
  <conditionalFormatting sqref="H16">
    <cfRule type="expression" dxfId="32" priority="16">
      <formula>$F16="Yes"</formula>
    </cfRule>
  </conditionalFormatting>
  <conditionalFormatting sqref="H23">
    <cfRule type="expression" dxfId="31" priority="15">
      <formula>OR($F22="Yes",$F23="Yes")</formula>
    </cfRule>
  </conditionalFormatting>
  <conditionalFormatting sqref="H25">
    <cfRule type="expression" dxfId="30" priority="14">
      <formula>$F25="Yes"</formula>
    </cfRule>
  </conditionalFormatting>
  <conditionalFormatting sqref="H27">
    <cfRule type="expression" dxfId="29" priority="13">
      <formula>$F27="Yes"</formula>
    </cfRule>
  </conditionalFormatting>
  <conditionalFormatting sqref="H46">
    <cfRule type="expression" dxfId="28" priority="12">
      <formula>$F46="Yes"</formula>
    </cfRule>
  </conditionalFormatting>
  <conditionalFormatting sqref="H44">
    <cfRule type="expression" dxfId="27" priority="11">
      <formula>$F44="Yes"</formula>
    </cfRule>
  </conditionalFormatting>
  <conditionalFormatting sqref="H45">
    <cfRule type="expression" dxfId="26" priority="10">
      <formula>$F45="Yes"</formula>
    </cfRule>
  </conditionalFormatting>
  <conditionalFormatting sqref="H53">
    <cfRule type="expression" dxfId="25" priority="9">
      <formula>OR($F50="Yes",$F51="Yes",$F52="Yes",$F53="Yes")</formula>
    </cfRule>
  </conditionalFormatting>
  <conditionalFormatting sqref="H55">
    <cfRule type="expression" dxfId="24" priority="8">
      <formula>$F55="Yes"</formula>
    </cfRule>
  </conditionalFormatting>
  <conditionalFormatting sqref="H58">
    <cfRule type="expression" dxfId="23" priority="7">
      <formula>$F58="Yes"</formula>
    </cfRule>
  </conditionalFormatting>
  <conditionalFormatting sqref="H70">
    <cfRule type="expression" dxfId="22" priority="6">
      <formula>OR($F69="Yes",$F70="Yes")</formula>
    </cfRule>
  </conditionalFormatting>
  <conditionalFormatting sqref="H72">
    <cfRule type="expression" dxfId="21" priority="5">
      <formula>$F72="Yes"</formula>
    </cfRule>
  </conditionalFormatting>
  <conditionalFormatting sqref="H76">
    <cfRule type="expression" dxfId="20" priority="4">
      <formula>$F76="Yes"</formula>
    </cfRule>
  </conditionalFormatting>
  <conditionalFormatting sqref="H78">
    <cfRule type="expression" dxfId="19" priority="3">
      <formula>$F78="Yes"</formula>
    </cfRule>
  </conditionalFormatting>
  <conditionalFormatting sqref="H74">
    <cfRule type="expression" dxfId="18" priority="2">
      <formula>$F74="Yes"</formula>
    </cfRule>
  </conditionalFormatting>
  <dataValidations count="21">
    <dataValidation type="whole" allowBlank="1" showInputMessage="1" showErrorMessage="1" errorTitle="Invalid Input" error="Invalid Input! Please enter any amount between RM0 to RM250" prompt="Please enter any amount between RM0 to RM250" sqref="H76">
      <formula1>0</formula1>
      <formula2>250</formula2>
    </dataValidation>
    <dataValidation type="whole" allowBlank="1" showInputMessage="1" showErrorMessage="1" errorTitle="Invalid Input" error="Invalid Input! Please enter any amount between RM0 to RM6,000" prompt="Please enter any amount between RM0 to RM6,000" sqref="H58">
      <formula1>0</formula1>
      <formula2>6000</formula2>
    </dataValidation>
    <dataValidation type="whole" allowBlank="1" showInputMessage="1" showErrorMessage="1" errorTitle="Invalid Input" error="Invalid Input! Please enter any amount between RM0 to RM2,500" prompt="Please enter any amount between RM0 to RM2,500" sqref="H53 H55">
      <formula1>0</formula1>
      <formula2>2500</formula2>
    </dataValidation>
    <dataValidation type="whole" operator="greaterThan" allowBlank="1" showInputMessage="1" showErrorMessage="1" errorTitle="Invalid Input" error="Invalid Input! Please make sure your total annual gross income is Greater than RM34,000 and is Whole Number" prompt="Please enter your total annual gross income" sqref="J5">
      <formula1>34000</formula1>
    </dataValidation>
    <dataValidation type="whole" allowBlank="1" showInputMessage="1" showErrorMessage="1" errorTitle="Invalid Input" error="Invalid Input! Please enter any amount between RM0 to RM2,750" prompt="Please enter any amount between RM0 to RM2,750" sqref="H44:H45">
      <formula1>0</formula1>
      <formula2>2750</formula2>
    </dataValidation>
    <dataValidation type="whole" allowBlank="1" showInputMessage="1" showErrorMessage="1" errorTitle="Invalid Input" error="Invalid Input! Please enter any amount between RM0 to RM500" prompt="Please enter any amount between RM0 to RM500" sqref="H46">
      <formula1>0</formula1>
      <formula2>500</formula2>
    </dataValidation>
    <dataValidation type="whole" allowBlank="1" showInputMessage="1" showErrorMessage="1" errorTitle="Invalid Input" error="Invalid Input! Please enter any amount between RM0 to RM8,000" prompt="Please enter any amount between RM0 to RM8,000" sqref="H27">
      <formula1>0</formula1>
      <formula2>8000</formula2>
    </dataValidation>
    <dataValidation type="whole" allowBlank="1" showInputMessage="1" showErrorMessage="1" errorTitle="Invalid Input" error="Invalid Input! Please enter any amount between RM0 to RM3,000" prompt="Please enter any amount between RM0 to RM3,000" sqref="H25 H72 H74">
      <formula1>0</formula1>
      <formula2>3000</formula2>
    </dataValidation>
    <dataValidation type="list" showInputMessage="1" showErrorMessage="1" errorTitle="Invalid Input" error="Invalid Input is entered! Please choose and select the option with either a, b, c, or d." prompt="Choose a for (a), b for (b), c for both, or d for neither" sqref="F21">
      <formula1>"a, b,c, d"</formula1>
    </dataValidation>
    <dataValidation type="whole" allowBlank="1" showInputMessage="1" showErrorMessage="1" errorTitle="Invalid Input" error="Invalid Input! Please enter any amount between RM0 to RM7,000" prompt="Please enter any amount between RM0 to RM7,000" sqref="H23 H70">
      <formula1>0</formula1>
      <formula2>7000</formula2>
    </dataValidation>
    <dataValidation type="whole" allowBlank="1" showInputMessage="1" showErrorMessage="1" errorTitle="Invalid Input" error="Invalid Input! Please enter any amount between RM0 to RM4,000" prompt="Please enter any amount between RM0 to RM4,000" sqref="H16">
      <formula1>0</formula1>
      <formula2>4000</formula2>
    </dataValidation>
    <dataValidation type="whole" allowBlank="1" showInputMessage="1" showErrorMessage="1" errorTitle="Invalid Input" error="Invalid Input! Please enter any amount between RM0 to RM1,000" prompt="Please enter any amount between RM0 to RM1,000" sqref="H14 H78">
      <formula1>0</formula1>
      <formula2>1000</formula2>
    </dataValidation>
    <dataValidation type="whole" allowBlank="1" showInputMessage="1" showErrorMessage="1" errorTitle="Invalid Input" error="Invalid Input! Please enter any amount between RM0 to RM5,000" prompt="Please enter any amount between RM0 to RM5,000" sqref="H38">
      <formula1>0</formula1>
      <formula2>5000</formula2>
    </dataValidation>
    <dataValidation allowBlank="1" showInputMessage="1" showErrorMessage="1" prompt="&quot;A-level&quot;, certificate, matriculation or preparatory courses" sqref="D29"/>
    <dataValidation allowBlank="1" showInputMessage="1" showErrorMessage="1" prompt="Total deposit in 2021 MINUS total withdrawal in 2021_x000a_" sqref="D27"/>
    <dataValidation type="list" showInputMessage="1" showErrorMessage="1" errorTitle="Invalid Input" error="Invalid Input is entered! Please choose and select the option with either a, b, c or d." prompt="Choose a for (a), b for (b), c for both or d for neither" sqref="F68">
      <formula1>"a, b,c, d"</formula1>
    </dataValidation>
    <dataValidation allowBlank="1" showInputMessage="1" showErrorMessage="1" prompt="Deduction allowed once in EVERY 2 YEARS of assessment" sqref="D14"/>
    <dataValidation type="list" showInputMessage="1" showErrorMessage="1" errorTitle="Invalid Input" error="Invalid Input is entered! Please choose and select the option with either Yes or No." sqref="F12 F14 F16 F18 F25 F27 F29 F32:F34 F44:F46 F50:F53 F55 F58 F60 F62 F64:F65 F72 F74 F76 F78">
      <formula1>"Yes, No"</formula1>
    </dataValidation>
    <dataValidation type="list" showInputMessage="1" showErrorMessage="1" errorTitle="Invalid Input" error="Invalid Input is entered! Please choose and select the option with either a, b or c." prompt="Please enter a for (a), b for (b), or c for neither" sqref="F37">
      <formula1>"a, b, c"</formula1>
    </dataValidation>
    <dataValidation type="list" showInputMessage="1" showErrorMessage="1" errorTitle="Invalid Input" error="Invalid Input is entered! Please choose and select the option with either a, b, or c." sqref="F31">
      <formula1>"a, b, c"</formula1>
    </dataValidation>
    <dataValidation type="list" showInputMessage="1" showErrorMessage="1" errorTitle="Invalid Input" error="Invalid Input is entered! Please choose and select the option with either M, F, P or N." prompt="If you have only 1 mother, please choose M. If you have only 1 father, please choose F. If you have 1 mother and 1 father, please choose P. If you do not have Mother and Father, please choose N" sqref="F40">
      <formula1>"M, F, P, 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set1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4:K103"/>
  <sheetViews>
    <sheetView zoomScaleNormal="100" workbookViewId="0"/>
  </sheetViews>
  <sheetFormatPr defaultRowHeight="15" x14ac:dyDescent="0.25"/>
  <cols>
    <col min="3" max="3" width="30.7109375" customWidth="1"/>
    <col min="4" max="4" width="70.7109375" customWidth="1"/>
    <col min="6" max="6" width="11.85546875" bestFit="1" customWidth="1"/>
    <col min="8" max="8" width="15.7109375" customWidth="1"/>
    <col min="10" max="10" width="18.7109375" customWidth="1"/>
  </cols>
  <sheetData>
    <row r="4" spans="3:11" x14ac:dyDescent="0.25">
      <c r="C4" s="1"/>
      <c r="D4" s="2"/>
    </row>
    <row r="5" spans="3:11" ht="26.25" x14ac:dyDescent="0.25">
      <c r="C5" s="22" t="s">
        <v>4</v>
      </c>
      <c r="D5" s="25"/>
      <c r="E5" s="23"/>
      <c r="F5" s="23"/>
      <c r="G5" s="23"/>
      <c r="H5" s="23"/>
      <c r="I5" s="23"/>
      <c r="J5" s="24">
        <v>34001</v>
      </c>
    </row>
    <row r="6" spans="3:11" x14ac:dyDescent="0.25">
      <c r="C6" s="2"/>
      <c r="D6" s="2"/>
    </row>
    <row r="7" spans="3:11" x14ac:dyDescent="0.25">
      <c r="C7" s="6"/>
      <c r="D7" s="6"/>
      <c r="E7" s="7"/>
      <c r="F7" s="7"/>
      <c r="G7" s="7"/>
      <c r="H7" s="7"/>
      <c r="I7" s="7"/>
      <c r="J7" s="7"/>
      <c r="K7" s="7"/>
    </row>
    <row r="8" spans="3:11" x14ac:dyDescent="0.25">
      <c r="C8" s="6"/>
      <c r="D8" s="6"/>
      <c r="E8" s="7"/>
      <c r="F8" s="7"/>
      <c r="G8" s="7"/>
      <c r="H8" s="7"/>
      <c r="I8" s="7"/>
      <c r="J8" s="7"/>
      <c r="K8" s="7"/>
    </row>
    <row r="9" spans="3:11" x14ac:dyDescent="0.25">
      <c r="C9" s="6"/>
      <c r="D9" s="6"/>
      <c r="E9" s="7"/>
      <c r="F9" s="7"/>
      <c r="G9" s="7"/>
      <c r="H9" s="7"/>
      <c r="I9" s="7"/>
      <c r="J9" s="7"/>
      <c r="K9" s="7"/>
    </row>
    <row r="10" spans="3:11" ht="26.25" x14ac:dyDescent="0.25">
      <c r="C10" s="22" t="s">
        <v>5</v>
      </c>
      <c r="D10" s="25"/>
      <c r="E10" s="5"/>
      <c r="F10" s="5"/>
      <c r="G10" s="5"/>
      <c r="H10" s="5"/>
      <c r="I10" s="5"/>
      <c r="J10" s="26"/>
    </row>
    <row r="11" spans="3:11" ht="26.25" x14ac:dyDescent="0.25">
      <c r="C11" s="36" t="s">
        <v>0</v>
      </c>
      <c r="D11" s="36" t="s">
        <v>48</v>
      </c>
      <c r="E11" s="7"/>
      <c r="F11" s="7"/>
      <c r="G11" s="7"/>
      <c r="H11" s="7"/>
      <c r="I11" s="7"/>
      <c r="J11" s="8"/>
    </row>
    <row r="12" spans="3:11" ht="18.75" x14ac:dyDescent="0.3">
      <c r="C12" s="39">
        <v>1</v>
      </c>
      <c r="D12" s="35" t="s">
        <v>6</v>
      </c>
      <c r="E12" s="7"/>
      <c r="F12" s="12" t="s">
        <v>55</v>
      </c>
      <c r="G12" s="7"/>
      <c r="H12" s="13">
        <f>IFERROR(IF($F12="Yes",9000,0),0)</f>
        <v>0</v>
      </c>
      <c r="I12" s="7"/>
      <c r="J12" s="14">
        <f>$H12</f>
        <v>0</v>
      </c>
      <c r="K12" s="4"/>
    </row>
    <row r="13" spans="3:11" ht="18.75" x14ac:dyDescent="0.3">
      <c r="C13" s="39"/>
      <c r="D13" s="35"/>
      <c r="E13" s="7"/>
      <c r="F13" s="7"/>
      <c r="G13" s="7"/>
      <c r="H13" s="7"/>
      <c r="I13" s="7"/>
      <c r="J13" s="8"/>
    </row>
    <row r="14" spans="3:11" ht="37.5" x14ac:dyDescent="0.25">
      <c r="C14" s="35">
        <v>2</v>
      </c>
      <c r="D14" s="35" t="s">
        <v>52</v>
      </c>
      <c r="E14" s="7"/>
      <c r="F14" s="12" t="s">
        <v>55</v>
      </c>
      <c r="G14" s="7"/>
      <c r="H14" s="13">
        <v>0</v>
      </c>
      <c r="I14" s="7"/>
      <c r="J14" s="14">
        <f>IF(F14="No",0,$H14)</f>
        <v>0</v>
      </c>
    </row>
    <row r="15" spans="3:11" x14ac:dyDescent="0.25">
      <c r="C15" s="31"/>
      <c r="D15" s="41"/>
      <c r="E15" s="7"/>
      <c r="F15" s="7"/>
      <c r="G15" s="7"/>
      <c r="H15" s="7"/>
      <c r="I15" s="7"/>
      <c r="J15" s="8"/>
    </row>
    <row r="16" spans="3:11" ht="18.75" x14ac:dyDescent="0.3">
      <c r="C16" s="39">
        <v>3</v>
      </c>
      <c r="D16" s="35" t="s">
        <v>26</v>
      </c>
      <c r="E16" s="7"/>
      <c r="F16" s="12" t="s">
        <v>55</v>
      </c>
      <c r="G16" s="7"/>
      <c r="H16" s="13">
        <v>0</v>
      </c>
      <c r="I16" s="7"/>
      <c r="J16" s="14">
        <f>IF(F16="No",0,$H16)</f>
        <v>0</v>
      </c>
    </row>
    <row r="17" spans="3:10" x14ac:dyDescent="0.25">
      <c r="C17" s="31"/>
      <c r="D17" s="41"/>
      <c r="E17" s="7"/>
      <c r="F17" s="7"/>
      <c r="G17" s="7"/>
      <c r="H17" s="7"/>
      <c r="I17" s="7"/>
      <c r="J17" s="8"/>
    </row>
    <row r="18" spans="3:10" ht="18.75" x14ac:dyDescent="0.3">
      <c r="C18" s="40">
        <v>4</v>
      </c>
      <c r="D18" s="42" t="s">
        <v>28</v>
      </c>
      <c r="E18" s="20"/>
      <c r="F18" s="28" t="s">
        <v>55</v>
      </c>
      <c r="G18" s="20"/>
      <c r="H18" s="29">
        <f>IFERROR(IF($F18="Yes",2000,0),0)</f>
        <v>0</v>
      </c>
      <c r="I18" s="20"/>
      <c r="J18" s="30">
        <f>H18</f>
        <v>0</v>
      </c>
    </row>
    <row r="19" spans="3:10" x14ac:dyDescent="0.25">
      <c r="C19" s="7"/>
      <c r="D19" s="7"/>
      <c r="E19" s="7"/>
      <c r="F19" s="7"/>
      <c r="G19" s="7"/>
      <c r="H19" s="7"/>
      <c r="I19" s="7"/>
      <c r="J19" s="7"/>
    </row>
    <row r="20" spans="3:10" ht="26.25" x14ac:dyDescent="0.25">
      <c r="C20" s="32" t="s">
        <v>2</v>
      </c>
      <c r="D20" s="33" t="s">
        <v>44</v>
      </c>
      <c r="E20" s="5"/>
      <c r="F20" s="5"/>
      <c r="G20" s="5"/>
      <c r="H20" s="5"/>
      <c r="I20" s="5"/>
      <c r="J20" s="26"/>
    </row>
    <row r="21" spans="3:10" ht="18.75" x14ac:dyDescent="0.25">
      <c r="C21" s="15">
        <v>5</v>
      </c>
      <c r="D21" s="35" t="s">
        <v>13</v>
      </c>
      <c r="E21" s="7"/>
      <c r="F21" s="12" t="s">
        <v>61</v>
      </c>
      <c r="G21" s="7"/>
      <c r="H21" s="7"/>
      <c r="I21" s="7"/>
      <c r="J21" s="8"/>
    </row>
    <row r="22" spans="3:10" ht="18.75" x14ac:dyDescent="0.25">
      <c r="C22" s="17"/>
      <c r="D22" s="35" t="s">
        <v>17</v>
      </c>
      <c r="E22" s="7"/>
      <c r="F22" s="11" t="str">
        <f>IFERROR(IF($F$21="a","Yes",IF($F$21="c","Yes","No")),"N/A")</f>
        <v>No</v>
      </c>
      <c r="G22" s="7"/>
      <c r="H22" s="7"/>
      <c r="I22" s="7"/>
      <c r="J22" s="8"/>
    </row>
    <row r="23" spans="3:10" ht="56.25" x14ac:dyDescent="0.25">
      <c r="C23" s="17"/>
      <c r="D23" s="35" t="s">
        <v>18</v>
      </c>
      <c r="E23" s="7"/>
      <c r="F23" s="11" t="str">
        <f>IFERROR(IF($F$21="b","Yes",IF($F$21="c","Yes","No")),"N/A")</f>
        <v>No</v>
      </c>
      <c r="G23" s="7"/>
      <c r="H23" s="13">
        <v>0</v>
      </c>
      <c r="I23" s="7"/>
      <c r="J23" s="14">
        <f>IF(AND(F22="No",F23="No"),0,$H23)</f>
        <v>0</v>
      </c>
    </row>
    <row r="24" spans="3:10" x14ac:dyDescent="0.25">
      <c r="C24" s="18"/>
      <c r="D24" s="41"/>
      <c r="E24" s="7"/>
      <c r="F24" s="7"/>
      <c r="G24" s="7"/>
      <c r="H24" s="7"/>
      <c r="I24" s="7"/>
      <c r="J24" s="8"/>
    </row>
    <row r="25" spans="3:10" ht="37.5" x14ac:dyDescent="0.25">
      <c r="C25" s="15">
        <v>6</v>
      </c>
      <c r="D25" s="35" t="s">
        <v>25</v>
      </c>
      <c r="E25" s="7"/>
      <c r="F25" s="12" t="s">
        <v>55</v>
      </c>
      <c r="G25" s="7"/>
      <c r="H25" s="13">
        <v>0</v>
      </c>
      <c r="I25" s="7"/>
      <c r="J25" s="14">
        <f>IF(F25="No",0,$H25)</f>
        <v>0</v>
      </c>
    </row>
    <row r="26" spans="3:10" x14ac:dyDescent="0.25">
      <c r="C26" s="18"/>
      <c r="D26" s="41"/>
      <c r="E26" s="7"/>
      <c r="F26" s="7"/>
      <c r="G26" s="7"/>
      <c r="H26" s="7"/>
      <c r="I26" s="7"/>
      <c r="J26" s="8"/>
    </row>
    <row r="27" spans="3:10" ht="18.75" x14ac:dyDescent="0.25">
      <c r="C27" s="15">
        <v>7</v>
      </c>
      <c r="D27" s="35" t="s">
        <v>59</v>
      </c>
      <c r="E27" s="7"/>
      <c r="F27" s="12" t="s">
        <v>55</v>
      </c>
      <c r="G27" s="7"/>
      <c r="H27" s="13">
        <v>0</v>
      </c>
      <c r="I27" s="7"/>
      <c r="J27" s="14">
        <f>IF(F27="No",0,$H27)</f>
        <v>0</v>
      </c>
    </row>
    <row r="28" spans="3:10" x14ac:dyDescent="0.25">
      <c r="C28" s="18"/>
      <c r="D28" s="41"/>
      <c r="E28" s="7"/>
      <c r="F28" s="7"/>
      <c r="G28" s="7"/>
      <c r="H28" s="7"/>
      <c r="I28" s="7"/>
      <c r="J28" s="8"/>
    </row>
    <row r="29" spans="3:10" ht="37.5" x14ac:dyDescent="0.25">
      <c r="C29" s="15">
        <v>8</v>
      </c>
      <c r="D29" s="35" t="s">
        <v>60</v>
      </c>
      <c r="E29" s="7"/>
      <c r="F29" s="12" t="s">
        <v>55</v>
      </c>
      <c r="G29" s="7"/>
      <c r="H29" s="13">
        <f>IFERROR(IF($F29="Yes",2000,0),0)</f>
        <v>0</v>
      </c>
      <c r="I29" s="7"/>
      <c r="J29" s="14">
        <f>H29</f>
        <v>0</v>
      </c>
    </row>
    <row r="30" spans="3:10" x14ac:dyDescent="0.25">
      <c r="C30" s="18"/>
      <c r="D30" s="41"/>
      <c r="E30" s="7"/>
      <c r="F30" s="7"/>
      <c r="G30" s="7"/>
      <c r="H30" s="7"/>
      <c r="I30" s="7"/>
      <c r="J30" s="8"/>
    </row>
    <row r="31" spans="3:10" ht="18.75" x14ac:dyDescent="0.25">
      <c r="C31" s="15">
        <v>9</v>
      </c>
      <c r="D31" s="35" t="s">
        <v>29</v>
      </c>
      <c r="E31" s="7"/>
      <c r="F31" s="11"/>
      <c r="G31" s="7"/>
      <c r="H31" s="7"/>
      <c r="I31" s="7"/>
      <c r="J31" s="8"/>
    </row>
    <row r="32" spans="3:10" ht="56.25" x14ac:dyDescent="0.25">
      <c r="C32" s="15"/>
      <c r="D32" s="35" t="s">
        <v>31</v>
      </c>
      <c r="E32" s="7"/>
      <c r="F32" s="12" t="s">
        <v>55</v>
      </c>
      <c r="G32" s="7"/>
      <c r="H32" s="7"/>
      <c r="I32" s="7"/>
      <c r="J32" s="8"/>
    </row>
    <row r="33" spans="3:10" ht="56.25" x14ac:dyDescent="0.25">
      <c r="C33" s="15"/>
      <c r="D33" s="35" t="s">
        <v>30</v>
      </c>
      <c r="E33" s="7"/>
      <c r="F33" s="12" t="s">
        <v>55</v>
      </c>
      <c r="G33" s="7"/>
      <c r="H33" s="7"/>
      <c r="I33" s="7"/>
      <c r="J33" s="8"/>
    </row>
    <row r="34" spans="3:10" ht="37.5" x14ac:dyDescent="0.25">
      <c r="C34" s="34"/>
      <c r="D34" s="42" t="s">
        <v>32</v>
      </c>
      <c r="E34" s="20"/>
      <c r="F34" s="28" t="s">
        <v>55</v>
      </c>
      <c r="G34" s="20"/>
      <c r="H34" s="29">
        <f>IFERROR(IF(OR($F32="Yes",$F33="Yes",$F34="Yes"),8000,0),0)</f>
        <v>0</v>
      </c>
      <c r="I34" s="20"/>
      <c r="J34" s="30">
        <f>H34</f>
        <v>0</v>
      </c>
    </row>
    <row r="35" spans="3:10" x14ac:dyDescent="0.25">
      <c r="C35" s="7"/>
      <c r="D35" s="7"/>
      <c r="E35" s="7"/>
      <c r="F35" s="7"/>
      <c r="G35" s="7"/>
      <c r="H35" s="7"/>
      <c r="I35" s="7"/>
      <c r="J35" s="7"/>
    </row>
    <row r="36" spans="3:10" ht="26.25" x14ac:dyDescent="0.25">
      <c r="C36" s="32" t="s">
        <v>3</v>
      </c>
      <c r="D36" s="33" t="s">
        <v>45</v>
      </c>
      <c r="E36" s="5"/>
      <c r="F36" s="5"/>
      <c r="G36" s="5"/>
      <c r="H36" s="5"/>
      <c r="I36" s="5"/>
      <c r="J36" s="26"/>
    </row>
    <row r="37" spans="3:10" ht="18.75" x14ac:dyDescent="0.25">
      <c r="C37" s="15">
        <v>10</v>
      </c>
      <c r="D37" s="35" t="s">
        <v>7</v>
      </c>
      <c r="E37" s="7"/>
      <c r="F37" s="12" t="s">
        <v>56</v>
      </c>
      <c r="G37" s="7"/>
      <c r="H37" s="7"/>
      <c r="I37" s="7"/>
      <c r="J37" s="8"/>
    </row>
    <row r="38" spans="3:10" ht="18.75" x14ac:dyDescent="0.25">
      <c r="C38" s="17"/>
      <c r="D38" s="35" t="s">
        <v>16</v>
      </c>
      <c r="E38" s="7"/>
      <c r="F38" s="11" t="str">
        <f>IFERROR(IF($F$37="a","Yes","No"),"N/A")</f>
        <v>No</v>
      </c>
      <c r="G38" s="7"/>
      <c r="H38" s="13">
        <v>0</v>
      </c>
      <c r="I38" s="7"/>
      <c r="J38" s="14">
        <f>IF(F38="No",0,$H38)</f>
        <v>0</v>
      </c>
    </row>
    <row r="39" spans="3:10" ht="18.75" x14ac:dyDescent="0.25">
      <c r="C39" s="15"/>
      <c r="D39" s="45" t="s">
        <v>8</v>
      </c>
      <c r="E39" s="7"/>
      <c r="F39" s="7"/>
      <c r="G39" s="7"/>
      <c r="H39" s="7"/>
      <c r="I39" s="7"/>
      <c r="J39" s="8"/>
    </row>
    <row r="40" spans="3:10" ht="18.75" x14ac:dyDescent="0.25">
      <c r="C40" s="15"/>
      <c r="D40" s="46" t="s">
        <v>1</v>
      </c>
      <c r="E40" s="7"/>
      <c r="F40" s="12" t="s">
        <v>62</v>
      </c>
      <c r="G40" s="7"/>
      <c r="H40" s="7"/>
      <c r="I40" s="7"/>
      <c r="J40" s="8"/>
    </row>
    <row r="41" spans="3:10" ht="18.75" x14ac:dyDescent="0.25">
      <c r="C41" s="17"/>
      <c r="D41" s="35" t="s">
        <v>9</v>
      </c>
      <c r="E41" s="7"/>
      <c r="F41" s="3" t="str">
        <f>IFERROR(IF($F$40="M","Yes",IF($F$40="P","Yes","No")),"N/A")</f>
        <v>No</v>
      </c>
      <c r="G41" s="7"/>
      <c r="H41" s="13">
        <f>IFERROR(IF($F37="a",0,IF($F41="Yes",1500,0)),0)</f>
        <v>0</v>
      </c>
      <c r="I41" s="7"/>
      <c r="J41" s="14">
        <f>IF(OR(F37="a",F37="c"),0,SUM($H41:$H42))</f>
        <v>0</v>
      </c>
    </row>
    <row r="42" spans="3:10" ht="18.75" x14ac:dyDescent="0.25">
      <c r="C42" s="15"/>
      <c r="D42" s="35" t="s">
        <v>10</v>
      </c>
      <c r="E42" s="7"/>
      <c r="F42" s="3" t="str">
        <f>IFERROR(IF($F$40="F","Yes",IF($F$40="P","Yes","No")),"N/A")</f>
        <v>No</v>
      </c>
      <c r="G42" s="7"/>
      <c r="H42" s="13">
        <f>IFERROR(IF($F37="a",0,IF($F42="Yes",1500,0)),0)</f>
        <v>0</v>
      </c>
      <c r="I42" s="7"/>
      <c r="J42" s="8"/>
    </row>
    <row r="43" spans="3:10" x14ac:dyDescent="0.25">
      <c r="C43" s="18"/>
      <c r="D43" s="41"/>
      <c r="E43" s="7"/>
      <c r="F43" s="7"/>
      <c r="G43" s="7"/>
      <c r="H43" s="7"/>
      <c r="I43" s="7"/>
      <c r="J43" s="8"/>
    </row>
    <row r="44" spans="3:10" ht="18.75" x14ac:dyDescent="0.25">
      <c r="C44" s="15">
        <v>11</v>
      </c>
      <c r="D44" s="35" t="s">
        <v>14</v>
      </c>
      <c r="E44" s="7"/>
      <c r="F44" s="12" t="s">
        <v>55</v>
      </c>
      <c r="G44" s="7"/>
      <c r="H44" s="13">
        <v>0</v>
      </c>
      <c r="I44" s="7"/>
      <c r="J44" s="8"/>
    </row>
    <row r="45" spans="3:10" ht="18.75" x14ac:dyDescent="0.25">
      <c r="C45" s="15">
        <v>12</v>
      </c>
      <c r="D45" s="35" t="s">
        <v>15</v>
      </c>
      <c r="E45" s="7"/>
      <c r="F45" s="12" t="s">
        <v>55</v>
      </c>
      <c r="G45" s="7"/>
      <c r="H45" s="13">
        <v>0</v>
      </c>
      <c r="I45" s="7"/>
      <c r="J45" s="8"/>
    </row>
    <row r="46" spans="3:10" ht="37.5" x14ac:dyDescent="0.25">
      <c r="C46" s="34">
        <v>13</v>
      </c>
      <c r="D46" s="42" t="s">
        <v>40</v>
      </c>
      <c r="E46" s="20"/>
      <c r="F46" s="28" t="s">
        <v>55</v>
      </c>
      <c r="G46" s="20"/>
      <c r="H46" s="29">
        <v>0</v>
      </c>
      <c r="I46" s="20"/>
      <c r="J46" s="30">
        <f>IF(F46="No",0,SUM($H44:$H46))</f>
        <v>0</v>
      </c>
    </row>
    <row r="47" spans="3:10" x14ac:dyDescent="0.25">
      <c r="C47" s="7"/>
      <c r="D47" s="7"/>
      <c r="E47" s="7"/>
      <c r="F47" s="7"/>
      <c r="G47" s="7"/>
      <c r="H47" s="7"/>
      <c r="I47" s="7"/>
      <c r="J47" s="7"/>
    </row>
    <row r="48" spans="3:10" ht="26.25" x14ac:dyDescent="0.25">
      <c r="C48" s="32" t="s">
        <v>46</v>
      </c>
      <c r="D48" s="33" t="s">
        <v>53</v>
      </c>
      <c r="E48" s="5"/>
      <c r="F48" s="5"/>
      <c r="G48" s="5"/>
      <c r="H48" s="5"/>
      <c r="I48" s="5"/>
      <c r="J48" s="26"/>
    </row>
    <row r="49" spans="3:10" ht="37.5" x14ac:dyDescent="0.25">
      <c r="C49" s="15">
        <v>14</v>
      </c>
      <c r="D49" s="35" t="s">
        <v>19</v>
      </c>
      <c r="E49" s="7"/>
      <c r="F49" s="7"/>
      <c r="G49" s="7"/>
      <c r="H49" s="7"/>
      <c r="I49" s="7"/>
      <c r="J49" s="8"/>
    </row>
    <row r="50" spans="3:10" ht="56.25" x14ac:dyDescent="0.3">
      <c r="C50" s="10"/>
      <c r="D50" s="35" t="s">
        <v>20</v>
      </c>
      <c r="E50" s="7"/>
      <c r="F50" s="12" t="s">
        <v>55</v>
      </c>
      <c r="G50" s="7"/>
      <c r="H50" s="7"/>
      <c r="I50" s="7"/>
      <c r="J50" s="8"/>
    </row>
    <row r="51" spans="3:10" ht="37.5" x14ac:dyDescent="0.3">
      <c r="C51" s="10"/>
      <c r="D51" s="35" t="s">
        <v>21</v>
      </c>
      <c r="E51" s="7"/>
      <c r="F51" s="12" t="s">
        <v>55</v>
      </c>
      <c r="G51" s="7"/>
      <c r="H51" s="7"/>
      <c r="I51" s="7"/>
      <c r="J51" s="8"/>
    </row>
    <row r="52" spans="3:10" ht="56.25" x14ac:dyDescent="0.3">
      <c r="C52" s="10"/>
      <c r="D52" s="35" t="s">
        <v>22</v>
      </c>
      <c r="E52" s="7"/>
      <c r="F52" s="12" t="s">
        <v>55</v>
      </c>
      <c r="G52" s="7"/>
      <c r="H52" s="7"/>
      <c r="I52" s="7"/>
      <c r="J52" s="8"/>
    </row>
    <row r="53" spans="3:10" ht="37.5" x14ac:dyDescent="0.3">
      <c r="C53" s="10"/>
      <c r="D53" s="35" t="s">
        <v>23</v>
      </c>
      <c r="E53" s="7"/>
      <c r="F53" s="12" t="s">
        <v>55</v>
      </c>
      <c r="G53" s="7"/>
      <c r="H53" s="13">
        <v>0</v>
      </c>
      <c r="I53" s="7"/>
      <c r="J53" s="14">
        <f>IF(F53="No",0,$H53)</f>
        <v>0</v>
      </c>
    </row>
    <row r="54" spans="3:10" ht="18.75" x14ac:dyDescent="0.3">
      <c r="C54" s="10"/>
      <c r="D54" s="35"/>
      <c r="E54" s="7"/>
      <c r="F54" s="7"/>
      <c r="G54" s="7"/>
      <c r="H54" s="7"/>
      <c r="I54" s="7"/>
      <c r="J54" s="8"/>
    </row>
    <row r="55" spans="3:10" ht="37.5" x14ac:dyDescent="0.25">
      <c r="C55" s="34">
        <v>15</v>
      </c>
      <c r="D55" s="42" t="s">
        <v>24</v>
      </c>
      <c r="E55" s="20"/>
      <c r="F55" s="28" t="s">
        <v>55</v>
      </c>
      <c r="G55" s="20"/>
      <c r="H55" s="29">
        <v>0</v>
      </c>
      <c r="I55" s="20"/>
      <c r="J55" s="30">
        <f>IF(F55="No",0,$H55)</f>
        <v>0</v>
      </c>
    </row>
    <row r="56" spans="3:10" x14ac:dyDescent="0.25">
      <c r="C56" s="7"/>
      <c r="D56" s="7"/>
      <c r="E56" s="7"/>
      <c r="F56" s="7"/>
      <c r="G56" s="7"/>
      <c r="H56" s="7"/>
      <c r="I56" s="7"/>
      <c r="J56" s="7"/>
    </row>
    <row r="57" spans="3:10" ht="26.25" x14ac:dyDescent="0.25">
      <c r="C57" s="32" t="s">
        <v>49</v>
      </c>
      <c r="D57" s="33" t="s">
        <v>47</v>
      </c>
      <c r="E57" s="43"/>
      <c r="F57" s="5"/>
      <c r="G57" s="5"/>
      <c r="H57" s="5"/>
      <c r="I57" s="5"/>
      <c r="J57" s="26"/>
    </row>
    <row r="58" spans="3:10" ht="37.5" x14ac:dyDescent="0.25">
      <c r="C58" s="15">
        <v>16</v>
      </c>
      <c r="D58" s="35" t="s">
        <v>11</v>
      </c>
      <c r="E58" s="16"/>
      <c r="F58" s="12" t="s">
        <v>55</v>
      </c>
      <c r="G58" s="7"/>
      <c r="H58" s="13">
        <v>0</v>
      </c>
      <c r="I58" s="7"/>
      <c r="J58" s="14">
        <f>IF(F58="No",0,$H58)</f>
        <v>0</v>
      </c>
    </row>
    <row r="59" spans="3:10" ht="18.75" x14ac:dyDescent="0.3">
      <c r="C59" s="10"/>
      <c r="D59" s="35"/>
      <c r="E59" s="16"/>
      <c r="F59" s="7"/>
      <c r="G59" s="7"/>
      <c r="H59" s="7"/>
      <c r="I59" s="7"/>
      <c r="J59" s="8"/>
    </row>
    <row r="60" spans="3:10" ht="18.75" x14ac:dyDescent="0.3">
      <c r="C60" s="10">
        <v>17</v>
      </c>
      <c r="D60" s="35" t="s">
        <v>12</v>
      </c>
      <c r="E60" s="16"/>
      <c r="F60" s="12" t="s">
        <v>55</v>
      </c>
      <c r="G60" s="7"/>
      <c r="H60" s="13">
        <f>IFERROR(IF($F60="Yes",6000,0),0)</f>
        <v>0</v>
      </c>
      <c r="I60" s="7"/>
      <c r="J60" s="14">
        <f>H60</f>
        <v>0</v>
      </c>
    </row>
    <row r="61" spans="3:10" ht="18.75" x14ac:dyDescent="0.3">
      <c r="C61" s="10"/>
      <c r="D61" s="35"/>
      <c r="E61" s="16"/>
      <c r="F61" s="7"/>
      <c r="G61" s="7"/>
      <c r="H61" s="7"/>
      <c r="I61" s="7"/>
      <c r="J61" s="8"/>
    </row>
    <row r="62" spans="3:10" ht="18.75" x14ac:dyDescent="0.3">
      <c r="C62" s="10">
        <v>18</v>
      </c>
      <c r="D62" s="35" t="s">
        <v>27</v>
      </c>
      <c r="E62" s="16"/>
      <c r="F62" s="12" t="s">
        <v>55</v>
      </c>
      <c r="G62" s="7"/>
      <c r="H62" s="13">
        <f>IFERROR(IF($F62="Yes",3500,0),0)</f>
        <v>0</v>
      </c>
      <c r="I62" s="7"/>
      <c r="J62" s="14">
        <f>H62</f>
        <v>0</v>
      </c>
    </row>
    <row r="63" spans="3:10" ht="18.75" x14ac:dyDescent="0.3">
      <c r="C63" s="10"/>
      <c r="D63" s="35"/>
      <c r="E63" s="16"/>
      <c r="F63" s="7"/>
      <c r="G63" s="7"/>
      <c r="H63" s="7"/>
      <c r="I63" s="7"/>
      <c r="J63" s="8"/>
    </row>
    <row r="64" spans="3:10" ht="18.75" x14ac:dyDescent="0.3">
      <c r="C64" s="10">
        <v>19</v>
      </c>
      <c r="D64" s="35" t="s">
        <v>33</v>
      </c>
      <c r="E64" s="16"/>
      <c r="F64" s="12" t="s">
        <v>55</v>
      </c>
      <c r="G64" s="7"/>
      <c r="H64" s="13">
        <f>IFERROR(IF($F64="Yes",6000,0),0)</f>
        <v>0</v>
      </c>
      <c r="I64" s="7"/>
      <c r="J64" s="14">
        <f>H64</f>
        <v>0</v>
      </c>
    </row>
    <row r="65" spans="3:10" ht="93.75" x14ac:dyDescent="0.3">
      <c r="C65" s="27"/>
      <c r="D65" s="42" t="s">
        <v>34</v>
      </c>
      <c r="E65" s="44"/>
      <c r="F65" s="28" t="s">
        <v>55</v>
      </c>
      <c r="G65" s="20"/>
      <c r="H65" s="29">
        <f>IFERROR(IF($F65="Yes",8000,0),0)</f>
        <v>0</v>
      </c>
      <c r="I65" s="20"/>
      <c r="J65" s="30">
        <f>H65</f>
        <v>0</v>
      </c>
    </row>
    <row r="66" spans="3:10" x14ac:dyDescent="0.25">
      <c r="C66" s="7"/>
      <c r="D66" s="7"/>
      <c r="E66" s="7"/>
      <c r="F66" s="7"/>
      <c r="G66" s="7"/>
      <c r="H66" s="7"/>
      <c r="I66" s="7"/>
      <c r="J66" s="7"/>
    </row>
    <row r="67" spans="3:10" ht="26.25" x14ac:dyDescent="0.25">
      <c r="C67" s="32" t="s">
        <v>50</v>
      </c>
      <c r="D67" s="33" t="s">
        <v>51</v>
      </c>
      <c r="E67" s="5"/>
      <c r="F67" s="5"/>
      <c r="G67" s="5"/>
      <c r="H67" s="5"/>
      <c r="I67" s="5"/>
      <c r="J67" s="26"/>
    </row>
    <row r="68" spans="3:10" ht="37.5" x14ac:dyDescent="0.25">
      <c r="C68" s="15">
        <v>20</v>
      </c>
      <c r="D68" s="35" t="s">
        <v>41</v>
      </c>
      <c r="E68" s="7"/>
      <c r="F68" s="12" t="s">
        <v>61</v>
      </c>
      <c r="G68" s="7"/>
      <c r="H68" s="7"/>
      <c r="I68" s="7"/>
      <c r="J68" s="8"/>
    </row>
    <row r="69" spans="3:10" ht="37.5" x14ac:dyDescent="0.25">
      <c r="C69" s="15"/>
      <c r="D69" s="35" t="s">
        <v>35</v>
      </c>
      <c r="E69" s="7"/>
      <c r="F69" s="11" t="str">
        <f>IFERROR(IF($F$68="a","Yes",IF($F$68="c","Yes","No")),"N/A")</f>
        <v>No</v>
      </c>
      <c r="G69" s="7"/>
      <c r="H69" s="7"/>
      <c r="I69" s="7"/>
      <c r="J69" s="8"/>
    </row>
    <row r="70" spans="3:10" ht="75" x14ac:dyDescent="0.25">
      <c r="C70" s="15"/>
      <c r="D70" s="35" t="s">
        <v>42</v>
      </c>
      <c r="E70" s="7"/>
      <c r="F70" s="11" t="str">
        <f>IFERROR(IF($F$68="b","Yes",IF($F$68="c","Yes","No")),"N/A")</f>
        <v>No</v>
      </c>
      <c r="G70" s="7"/>
      <c r="H70" s="13">
        <v>0</v>
      </c>
      <c r="I70" s="7"/>
      <c r="J70" s="14">
        <f>IF(AND(F69="No",F70="No"),0,$H70)</f>
        <v>0</v>
      </c>
    </row>
    <row r="71" spans="3:10" ht="18.75" x14ac:dyDescent="0.25">
      <c r="C71" s="15"/>
      <c r="D71" s="35"/>
      <c r="E71" s="7"/>
      <c r="F71" s="7"/>
      <c r="G71" s="7"/>
      <c r="H71" s="7"/>
      <c r="I71" s="7"/>
      <c r="J71" s="8"/>
    </row>
    <row r="72" spans="3:10" ht="37.5" x14ac:dyDescent="0.25">
      <c r="C72" s="15">
        <v>21</v>
      </c>
      <c r="D72" s="35" t="s">
        <v>36</v>
      </c>
      <c r="E72" s="7"/>
      <c r="F72" s="12" t="s">
        <v>55</v>
      </c>
      <c r="G72" s="7"/>
      <c r="H72" s="13">
        <v>0</v>
      </c>
      <c r="I72" s="7"/>
      <c r="J72" s="14">
        <f>IF(F72="No",0,$H72)</f>
        <v>0</v>
      </c>
    </row>
    <row r="73" spans="3:10" ht="18.75" x14ac:dyDescent="0.25">
      <c r="C73" s="15"/>
      <c r="D73" s="35"/>
      <c r="E73" s="7"/>
      <c r="F73" s="7"/>
      <c r="G73" s="7"/>
      <c r="H73" s="7"/>
      <c r="I73" s="7"/>
      <c r="J73" s="8"/>
    </row>
    <row r="74" spans="3:10" ht="37.5" x14ac:dyDescent="0.25">
      <c r="C74" s="17">
        <v>22</v>
      </c>
      <c r="D74" s="35" t="s">
        <v>43</v>
      </c>
      <c r="E74" s="7"/>
      <c r="F74" s="12" t="s">
        <v>55</v>
      </c>
      <c r="G74" s="7"/>
      <c r="H74" s="13">
        <v>0</v>
      </c>
      <c r="I74" s="7"/>
      <c r="J74" s="14">
        <f>IF(F74="No",0,$H74)</f>
        <v>0</v>
      </c>
    </row>
    <row r="75" spans="3:10" ht="18.75" x14ac:dyDescent="0.25">
      <c r="C75" s="15"/>
      <c r="D75" s="45"/>
      <c r="E75" s="7"/>
      <c r="F75" s="7"/>
      <c r="G75" s="7"/>
      <c r="H75" s="7"/>
      <c r="I75" s="7"/>
      <c r="J75" s="8"/>
    </row>
    <row r="76" spans="3:10" ht="18.75" x14ac:dyDescent="0.25">
      <c r="C76" s="15">
        <v>23</v>
      </c>
      <c r="D76" s="46" t="s">
        <v>37</v>
      </c>
      <c r="E76" s="7"/>
      <c r="F76" s="12" t="s">
        <v>55</v>
      </c>
      <c r="G76" s="7"/>
      <c r="H76" s="13">
        <v>0</v>
      </c>
      <c r="I76" s="7"/>
      <c r="J76" s="14">
        <f>IF(F76="No",0,$H76)</f>
        <v>0</v>
      </c>
    </row>
    <row r="77" spans="3:10" ht="18.75" x14ac:dyDescent="0.25">
      <c r="C77" s="17"/>
      <c r="D77" s="35"/>
      <c r="E77" s="7"/>
      <c r="F77" s="7"/>
      <c r="G77" s="7"/>
      <c r="H77" s="7"/>
      <c r="I77" s="7"/>
      <c r="J77" s="8"/>
    </row>
    <row r="78" spans="3:10" ht="56.25" x14ac:dyDescent="0.25">
      <c r="C78" s="15">
        <v>24</v>
      </c>
      <c r="D78" s="35" t="s">
        <v>38</v>
      </c>
      <c r="E78" s="7"/>
      <c r="F78" s="12" t="s">
        <v>55</v>
      </c>
      <c r="G78" s="7"/>
      <c r="H78" s="13">
        <v>0</v>
      </c>
      <c r="I78" s="7"/>
      <c r="J78" s="14">
        <f>IF(F78="No",0,$H78)</f>
        <v>0</v>
      </c>
    </row>
    <row r="79" spans="3:10" ht="75" x14ac:dyDescent="0.25">
      <c r="C79" s="34"/>
      <c r="D79" s="47" t="s">
        <v>39</v>
      </c>
      <c r="E79" s="20"/>
      <c r="F79" s="20"/>
      <c r="G79" s="20"/>
      <c r="H79" s="20"/>
      <c r="I79" s="20"/>
      <c r="J79" s="21"/>
    </row>
    <row r="80" spans="3:10" ht="18.75" x14ac:dyDescent="0.25">
      <c r="C80" s="11"/>
      <c r="D80" s="19"/>
      <c r="E80" s="7"/>
      <c r="F80" s="7"/>
      <c r="G80" s="7"/>
      <c r="H80" s="7"/>
      <c r="I80" s="7"/>
      <c r="J80" s="7"/>
    </row>
    <row r="81" spans="3:10" ht="18.75" x14ac:dyDescent="0.25">
      <c r="C81" s="11"/>
      <c r="D81" s="19"/>
      <c r="E81" s="7"/>
      <c r="F81" s="7"/>
      <c r="G81" s="7"/>
      <c r="H81" s="7"/>
      <c r="I81" s="7"/>
      <c r="J81" s="7"/>
    </row>
    <row r="82" spans="3:10" x14ac:dyDescent="0.25">
      <c r="C82" s="7"/>
      <c r="D82" s="7"/>
      <c r="E82" s="7"/>
      <c r="F82" s="7"/>
      <c r="G82" s="7"/>
      <c r="H82" s="7"/>
      <c r="I82" s="7"/>
      <c r="J82" s="7"/>
    </row>
    <row r="83" spans="3:10" x14ac:dyDescent="0.25">
      <c r="C83" s="7"/>
      <c r="D83" s="7"/>
      <c r="E83" s="7"/>
      <c r="F83" s="7"/>
      <c r="G83" s="7"/>
      <c r="H83" s="7"/>
      <c r="I83" s="7"/>
      <c r="J83" s="7"/>
    </row>
    <row r="84" spans="3:10" ht="26.25" x14ac:dyDescent="0.25">
      <c r="C84" s="9" t="s">
        <v>64</v>
      </c>
      <c r="D84" s="9" t="s">
        <v>64</v>
      </c>
      <c r="E84" s="7"/>
      <c r="F84" s="7"/>
      <c r="G84" s="7"/>
      <c r="H84" s="7"/>
      <c r="I84" s="7"/>
      <c r="J84" s="37">
        <f>SUM(J12:J79)</f>
        <v>0</v>
      </c>
    </row>
    <row r="85" spans="3:10" x14ac:dyDescent="0.25">
      <c r="C85" s="7"/>
      <c r="D85" s="7"/>
      <c r="E85" s="7"/>
      <c r="F85" s="7"/>
      <c r="G85" s="7"/>
      <c r="H85" s="7"/>
      <c r="I85" s="7"/>
      <c r="J85" s="7"/>
    </row>
    <row r="86" spans="3:10" ht="26.25" x14ac:dyDescent="0.25">
      <c r="C86" s="9" t="s">
        <v>63</v>
      </c>
      <c r="D86" s="9" t="s">
        <v>63</v>
      </c>
      <c r="E86" s="7"/>
      <c r="F86" s="7"/>
      <c r="G86" s="7"/>
      <c r="H86" s="7"/>
      <c r="I86" s="7"/>
      <c r="J86" s="38">
        <f>IF(J5-J84&lt;0,0,J5-J84)</f>
        <v>34001</v>
      </c>
    </row>
    <row r="88" spans="3:10" ht="18.75" x14ac:dyDescent="0.25">
      <c r="C88" s="48" t="s">
        <v>63</v>
      </c>
      <c r="D88" s="49" t="s">
        <v>80</v>
      </c>
      <c r="E88" s="50" t="s">
        <v>79</v>
      </c>
      <c r="F88" s="51"/>
      <c r="G88" s="52"/>
      <c r="H88" s="49" t="s">
        <v>81</v>
      </c>
      <c r="I88" s="53"/>
      <c r="J88" s="49" t="s">
        <v>78</v>
      </c>
    </row>
    <row r="89" spans="3:10" ht="18.75" x14ac:dyDescent="0.25">
      <c r="C89" s="54" t="s">
        <v>65</v>
      </c>
      <c r="D89" s="55">
        <f>IF($J$86-5000&gt;0,$J$86-($J$86-5000),$J$86)</f>
        <v>5000</v>
      </c>
      <c r="E89" s="56">
        <f>$J$86-$D89</f>
        <v>29001</v>
      </c>
      <c r="F89" s="57"/>
      <c r="G89" s="58"/>
      <c r="H89" s="59">
        <v>0</v>
      </c>
      <c r="I89" s="60"/>
      <c r="J89" s="55">
        <f>D89*H89</f>
        <v>0</v>
      </c>
    </row>
    <row r="90" spans="3:10" ht="18.75" x14ac:dyDescent="0.25">
      <c r="C90" s="61" t="s">
        <v>66</v>
      </c>
      <c r="D90" s="55">
        <f>IF($E89-15000&gt;0,$E89-($E89-15000),$E89)</f>
        <v>15000</v>
      </c>
      <c r="E90" s="62">
        <f>$E89-$D90</f>
        <v>14001</v>
      </c>
      <c r="F90" s="63"/>
      <c r="G90" s="64"/>
      <c r="H90" s="59">
        <v>0.01</v>
      </c>
      <c r="I90" s="60"/>
      <c r="J90" s="55">
        <f t="shared" ref="J90" si="0">D90*H90</f>
        <v>150</v>
      </c>
    </row>
    <row r="91" spans="3:10" ht="18.75" x14ac:dyDescent="0.25">
      <c r="C91" s="61" t="s">
        <v>67</v>
      </c>
      <c r="D91" s="55">
        <f>IF($E90-15000&gt;0,$E90-($E90-15000),$E90)</f>
        <v>14001</v>
      </c>
      <c r="E91" s="62">
        <f>$E90-$D91</f>
        <v>0</v>
      </c>
      <c r="F91" s="63"/>
      <c r="G91" s="64"/>
      <c r="H91" s="59">
        <v>0.03</v>
      </c>
      <c r="I91" s="60"/>
      <c r="J91" s="55">
        <f t="shared" ref="J91:J100" si="1">D91*H91</f>
        <v>420.03</v>
      </c>
    </row>
    <row r="92" spans="3:10" ht="18.75" x14ac:dyDescent="0.25">
      <c r="C92" s="54" t="s">
        <v>68</v>
      </c>
      <c r="D92" s="55">
        <f>IF($E91-15000&gt;0,$E91-($E91-15000),$E91)</f>
        <v>0</v>
      </c>
      <c r="E92" s="62">
        <f>$E91-$D92</f>
        <v>0</v>
      </c>
      <c r="F92" s="63"/>
      <c r="G92" s="64"/>
      <c r="H92" s="59">
        <v>0.08</v>
      </c>
      <c r="I92" s="60"/>
      <c r="J92" s="55">
        <f t="shared" si="1"/>
        <v>0</v>
      </c>
    </row>
    <row r="93" spans="3:10" ht="18.75" x14ac:dyDescent="0.25">
      <c r="C93" s="61" t="s">
        <v>69</v>
      </c>
      <c r="D93" s="55">
        <f>IF($E92-20000&gt;0,$E92-($E92-20000),$E92)</f>
        <v>0</v>
      </c>
      <c r="E93" s="62">
        <f>$E92-$D93</f>
        <v>0</v>
      </c>
      <c r="F93" s="63"/>
      <c r="G93" s="64"/>
      <c r="H93" s="59">
        <v>0.14000000000000001</v>
      </c>
      <c r="I93" s="60"/>
      <c r="J93" s="55">
        <f t="shared" si="1"/>
        <v>0</v>
      </c>
    </row>
    <row r="94" spans="3:10" ht="18.75" x14ac:dyDescent="0.25">
      <c r="C94" s="61" t="s">
        <v>70</v>
      </c>
      <c r="D94" s="55">
        <f>IF($E93-30000&gt;0,$E93-($E93-30000),$E93)</f>
        <v>0</v>
      </c>
      <c r="E94" s="62">
        <f>$E93-$D94</f>
        <v>0</v>
      </c>
      <c r="F94" s="63"/>
      <c r="G94" s="64"/>
      <c r="H94" s="59">
        <v>0.21</v>
      </c>
      <c r="I94" s="60"/>
      <c r="J94" s="55">
        <f t="shared" si="1"/>
        <v>0</v>
      </c>
    </row>
    <row r="95" spans="3:10" ht="18.75" x14ac:dyDescent="0.25">
      <c r="C95" s="54" t="s">
        <v>71</v>
      </c>
      <c r="D95" s="55">
        <f>IF($E94-150000&gt;0,$E94-($E94-150000),$E94)</f>
        <v>0</v>
      </c>
      <c r="E95" s="62">
        <f>$E94-$D95</f>
        <v>0</v>
      </c>
      <c r="F95" s="63"/>
      <c r="G95" s="64"/>
      <c r="H95" s="59">
        <v>0.24</v>
      </c>
      <c r="I95" s="60"/>
      <c r="J95" s="55">
        <f>D95*H95</f>
        <v>0</v>
      </c>
    </row>
    <row r="96" spans="3:10" ht="18.75" x14ac:dyDescent="0.25">
      <c r="C96" s="61" t="s">
        <v>72</v>
      </c>
      <c r="D96" s="55">
        <f>IF($E95-150000&gt;0,$E95-($E95-150000),$E95)</f>
        <v>0</v>
      </c>
      <c r="E96" s="62">
        <f>$E95-$D96</f>
        <v>0</v>
      </c>
      <c r="F96" s="63"/>
      <c r="G96" s="64"/>
      <c r="H96" s="59">
        <v>0.245</v>
      </c>
      <c r="I96" s="60"/>
      <c r="J96" s="55">
        <f t="shared" si="1"/>
        <v>0</v>
      </c>
    </row>
    <row r="97" spans="3:10" ht="18.75" x14ac:dyDescent="0.25">
      <c r="C97" s="61" t="s">
        <v>73</v>
      </c>
      <c r="D97" s="55">
        <f>IF($E96-200000&gt;0,$E96-($E96-200000),$E96)</f>
        <v>0</v>
      </c>
      <c r="E97" s="62">
        <f>$E96-$D97</f>
        <v>0</v>
      </c>
      <c r="F97" s="63"/>
      <c r="G97" s="64"/>
      <c r="H97" s="59">
        <v>0.25</v>
      </c>
      <c r="I97" s="60"/>
      <c r="J97" s="55">
        <f t="shared" si="1"/>
        <v>0</v>
      </c>
    </row>
    <row r="98" spans="3:10" ht="18.75" x14ac:dyDescent="0.25">
      <c r="C98" s="54" t="s">
        <v>74</v>
      </c>
      <c r="D98" s="55">
        <f>IF($E97-400000&gt;0,$E97-($E97-400000),$E97)</f>
        <v>0</v>
      </c>
      <c r="E98" s="62">
        <f>$E97-$D98</f>
        <v>0</v>
      </c>
      <c r="F98" s="63"/>
      <c r="G98" s="64"/>
      <c r="H98" s="59">
        <v>0.26</v>
      </c>
      <c r="I98" s="60"/>
      <c r="J98" s="55">
        <f t="shared" si="1"/>
        <v>0</v>
      </c>
    </row>
    <row r="99" spans="3:10" ht="18.75" x14ac:dyDescent="0.25">
      <c r="C99" s="61" t="s">
        <v>75</v>
      </c>
      <c r="D99" s="55">
        <f>IF($E98-1000000&gt;0,$E98-($E98-1000000),$E98)</f>
        <v>0</v>
      </c>
      <c r="E99" s="62">
        <f>$E98-$D99</f>
        <v>0</v>
      </c>
      <c r="F99" s="63"/>
      <c r="G99" s="64"/>
      <c r="H99" s="59">
        <v>0.28000000000000003</v>
      </c>
      <c r="I99" s="60"/>
      <c r="J99" s="55">
        <f t="shared" si="1"/>
        <v>0</v>
      </c>
    </row>
    <row r="100" spans="3:10" ht="18.75" x14ac:dyDescent="0.25">
      <c r="C100" s="65" t="s">
        <v>76</v>
      </c>
      <c r="D100" s="66">
        <f>$E99</f>
        <v>0</v>
      </c>
      <c r="E100" s="67">
        <f>$E99-$D100</f>
        <v>0</v>
      </c>
      <c r="F100" s="68"/>
      <c r="G100" s="69"/>
      <c r="H100" s="70">
        <v>0.3</v>
      </c>
      <c r="I100" s="71"/>
      <c r="J100" s="66">
        <f t="shared" si="1"/>
        <v>0</v>
      </c>
    </row>
    <row r="101" spans="3:10" ht="18.75" x14ac:dyDescent="0.25">
      <c r="C101" s="48" t="s">
        <v>77</v>
      </c>
      <c r="D101" s="49"/>
      <c r="E101" s="50"/>
      <c r="F101" s="51"/>
      <c r="G101" s="52"/>
      <c r="H101" s="49"/>
      <c r="I101" s="53"/>
      <c r="J101" s="72">
        <f>SUM(J89:J100)</f>
        <v>570.03</v>
      </c>
    </row>
    <row r="103" spans="3:10" ht="26.25" x14ac:dyDescent="0.25">
      <c r="C103" s="9" t="s">
        <v>82</v>
      </c>
      <c r="D103" s="9"/>
      <c r="E103" s="7"/>
      <c r="F103" s="7"/>
      <c r="G103" s="7"/>
      <c r="H103" s="7"/>
      <c r="I103" s="7"/>
      <c r="J103" s="38">
        <f>J86-J101</f>
        <v>33430.97</v>
      </c>
    </row>
  </sheetData>
  <dataConsolidate/>
  <mergeCells count="19">
    <mergeCell ref="C103:D103"/>
    <mergeCell ref="E89:G89"/>
    <mergeCell ref="E90:G90"/>
    <mergeCell ref="E91:G91"/>
    <mergeCell ref="E92:G92"/>
    <mergeCell ref="E93:G93"/>
    <mergeCell ref="E94:G94"/>
    <mergeCell ref="E95:G95"/>
    <mergeCell ref="E96:G96"/>
    <mergeCell ref="C10:D10"/>
    <mergeCell ref="C5:D5"/>
    <mergeCell ref="C84:D84"/>
    <mergeCell ref="C86:D86"/>
    <mergeCell ref="E88:G88"/>
    <mergeCell ref="E101:G101"/>
    <mergeCell ref="E97:G97"/>
    <mergeCell ref="E98:G98"/>
    <mergeCell ref="E99:G99"/>
    <mergeCell ref="E100:G100"/>
  </mergeCells>
  <conditionalFormatting sqref="F40:F42">
    <cfRule type="expression" dxfId="17" priority="21">
      <formula>OR($F$37="a",$F$37="c")</formula>
    </cfRule>
  </conditionalFormatting>
  <conditionalFormatting sqref="H38">
    <cfRule type="expression" dxfId="16" priority="20">
      <formula>$F$38="Yes"</formula>
    </cfRule>
  </conditionalFormatting>
  <conditionalFormatting sqref="H14">
    <cfRule type="expression" dxfId="15" priority="19">
      <formula>$F14="Yes"</formula>
    </cfRule>
  </conditionalFormatting>
  <conditionalFormatting sqref="H16">
    <cfRule type="expression" dxfId="14" priority="18">
      <formula>$F16="Yes"</formula>
    </cfRule>
  </conditionalFormatting>
  <conditionalFormatting sqref="H23">
    <cfRule type="expression" dxfId="13" priority="17">
      <formula>OR($F22="Yes",$F23="Yes")</formula>
    </cfRule>
  </conditionalFormatting>
  <conditionalFormatting sqref="H25">
    <cfRule type="expression" dxfId="12" priority="16">
      <formula>$F25="Yes"</formula>
    </cfRule>
  </conditionalFormatting>
  <conditionalFormatting sqref="H27">
    <cfRule type="expression" dxfId="11" priority="15">
      <formula>$F27="Yes"</formula>
    </cfRule>
  </conditionalFormatting>
  <conditionalFormatting sqref="H46">
    <cfRule type="expression" dxfId="10" priority="14">
      <formula>$F46="Yes"</formula>
    </cfRule>
  </conditionalFormatting>
  <conditionalFormatting sqref="H44">
    <cfRule type="expression" dxfId="9" priority="13">
      <formula>$F44="Yes"</formula>
    </cfRule>
  </conditionalFormatting>
  <conditionalFormatting sqref="H45">
    <cfRule type="expression" dxfId="8" priority="11">
      <formula>$F45="Yes"</formula>
    </cfRule>
  </conditionalFormatting>
  <conditionalFormatting sqref="H53">
    <cfRule type="expression" dxfId="7" priority="10">
      <formula>OR($F50="Yes",$F51="Yes",$F52="Yes",$F53="Yes")</formula>
    </cfRule>
  </conditionalFormatting>
  <conditionalFormatting sqref="H55">
    <cfRule type="expression" dxfId="6" priority="9">
      <formula>$F55="Yes"</formula>
    </cfRule>
  </conditionalFormatting>
  <conditionalFormatting sqref="H58">
    <cfRule type="expression" dxfId="5" priority="8">
      <formula>$F58="Yes"</formula>
    </cfRule>
  </conditionalFormatting>
  <conditionalFormatting sqref="H70">
    <cfRule type="expression" dxfId="4" priority="7">
      <formula>OR($F69="Yes",$F70="Yes")</formula>
    </cfRule>
  </conditionalFormatting>
  <conditionalFormatting sqref="H72">
    <cfRule type="expression" dxfId="3" priority="6">
      <formula>$F72="Yes"</formula>
    </cfRule>
  </conditionalFormatting>
  <conditionalFormatting sqref="H76">
    <cfRule type="expression" dxfId="2" priority="4">
      <formula>$F76="Yes"</formula>
    </cfRule>
  </conditionalFormatting>
  <conditionalFormatting sqref="H78">
    <cfRule type="expression" dxfId="1" priority="3">
      <formula>$F78="Yes"</formula>
    </cfRule>
  </conditionalFormatting>
  <conditionalFormatting sqref="H74">
    <cfRule type="expression" dxfId="0" priority="2">
      <formula>$F74="Yes"</formula>
    </cfRule>
  </conditionalFormatting>
  <dataValidations xWindow="620" yWindow="675" count="21">
    <dataValidation type="list" showInputMessage="1" showErrorMessage="1" errorTitle="Invalid Input" error="Invalid Input is entered! Please choose and select the option with either M, F, P or N." prompt="If you have only 1 mother, please choose M. If you have only 1 father, please choose F. If you have 1 mother and 1 father, please choose P. If you do not have Mother and Father, please choose N" sqref="F40">
      <formula1>"M, F, P, N"</formula1>
    </dataValidation>
    <dataValidation type="list" showInputMessage="1" showErrorMessage="1" errorTitle="Invalid Input" error="Invalid Input is entered! Please choose and select the option with either a, b, or c." sqref="F31">
      <formula1>"a, b, c"</formula1>
    </dataValidation>
    <dataValidation type="list" showInputMessage="1" showErrorMessage="1" errorTitle="Invalid Input" error="Invalid Input is entered! Please choose and select the option with either a, b or c." prompt="Please enter a for (a), b for (b), or c for neither" sqref="F37">
      <formula1>"a, b, c"</formula1>
    </dataValidation>
    <dataValidation type="list" showInputMessage="1" showErrorMessage="1" errorTitle="Invalid Input" error="Invalid Input is entered! Please choose and select the option with either Yes or No." sqref="F12 F14 F16 F18 F25 F27 F29 F32:F34 F44:F46 F50:F53 F55 F58 F60 F62 F64:F65 F72 F74 F76 F78">
      <formula1>"Yes, No"</formula1>
    </dataValidation>
    <dataValidation allowBlank="1" showInputMessage="1" showErrorMessage="1" prompt="Deduction allowed once in EVERY 2 YEARS of assessment" sqref="D14"/>
    <dataValidation type="list" showInputMessage="1" showErrorMessage="1" errorTitle="Invalid Input" error="Invalid Input is entered! Please choose and select the option with either a, b, c or d." prompt="Choose a for (a), b for (b), c for both or d for neither" sqref="F68">
      <formula1>"a, b,c, d"</formula1>
    </dataValidation>
    <dataValidation allowBlank="1" showInputMessage="1" showErrorMessage="1" prompt="Total deposit in 2021 MINUS total withdrawal in 2021_x000a_" sqref="D27"/>
    <dataValidation allowBlank="1" showInputMessage="1" showErrorMessage="1" prompt="&quot;A-level&quot;, certificate, matriculation or preparatory courses" sqref="D29"/>
    <dataValidation type="whole" allowBlank="1" showInputMessage="1" showErrorMessage="1" errorTitle="Invalid Input" error="Invalid Input! Please enter any amount between RM0 to RM5,000" prompt="Please enter any amount between RM0 to RM5,000" sqref="H38">
      <formula1>0</formula1>
      <formula2>5000</formula2>
    </dataValidation>
    <dataValidation type="whole" allowBlank="1" showInputMessage="1" showErrorMessage="1" errorTitle="Invalid Input" error="Invalid Input! Please enter any amount between RM0 to RM1,000" prompt="Please enter any amount between RM0 to RM1,000" sqref="H14 H78">
      <formula1>0</formula1>
      <formula2>1000</formula2>
    </dataValidation>
    <dataValidation type="whole" allowBlank="1" showInputMessage="1" showErrorMessage="1" errorTitle="Invalid Input" error="Invalid Input! Please enter any amount between RM0 to RM4,000" prompt="Please enter any amount between RM0 to RM4,000" sqref="H16">
      <formula1>0</formula1>
      <formula2>4000</formula2>
    </dataValidation>
    <dataValidation type="whole" allowBlank="1" showInputMessage="1" showErrorMessage="1" errorTitle="Invalid Input" error="Invalid Input! Please enter any amount between RM0 to RM7,000" prompt="Please enter any amount between RM0 to RM7,000" sqref="H23 H70">
      <formula1>0</formula1>
      <formula2>7000</formula2>
    </dataValidation>
    <dataValidation type="list" showInputMessage="1" showErrorMessage="1" errorTitle="Invalid Input" error="Invalid Input is entered! Please choose and select the option with either a, b, c, or d." prompt="Choose a for (a), b for (b), c for both, or d for neither" sqref="F21">
      <formula1>"a, b,c, d"</formula1>
    </dataValidation>
    <dataValidation type="whole" allowBlank="1" showInputMessage="1" showErrorMessage="1" errorTitle="Invalid Input" error="Invalid Input! Please enter any amount between RM0 to RM3,000" prompt="Please enter any amount between RM0 to RM3,000" sqref="H25 H72 H74">
      <formula1>0</formula1>
      <formula2>3000</formula2>
    </dataValidation>
    <dataValidation type="whole" allowBlank="1" showInputMessage="1" showErrorMessage="1" errorTitle="Invalid Input" error="Invalid Input! Please enter any amount between RM0 to RM8,000" prompt="Please enter any amount between RM0 to RM8,000" sqref="H27">
      <formula1>0</formula1>
      <formula2>8000</formula2>
    </dataValidation>
    <dataValidation type="whole" allowBlank="1" showInputMessage="1" showErrorMessage="1" errorTitle="Invalid Input" error="Invalid Input! Please enter any amount between RM0 to RM500" prompt="Please enter any amount between RM0 to RM500" sqref="H46">
      <formula1>0</formula1>
      <formula2>500</formula2>
    </dataValidation>
    <dataValidation type="whole" allowBlank="1" showInputMessage="1" showErrorMessage="1" errorTitle="Invalid Input" error="Invalid Input! Please enter any amount between RM0 to RM2,750" prompt="Please enter any amount between RM0 to RM2,750" sqref="H44:H45">
      <formula1>0</formula1>
      <formula2>2750</formula2>
    </dataValidation>
    <dataValidation type="whole" operator="greaterThan" allowBlank="1" showInputMessage="1" showErrorMessage="1" errorTitle="Invalid Input" error="Invalid Input! Please make sure your total annual gross income is Greater than RM34,000 and is Whole Number" prompt="Please enter your total annual gross income" sqref="J5">
      <formula1>34000</formula1>
    </dataValidation>
    <dataValidation type="whole" allowBlank="1" showInputMessage="1" showErrorMessage="1" errorTitle="Invalid Input" error="Invalid Input! Please enter any amount between RM0 to RM2,500" prompt="Please enter any amount between RM0 to RM2,500" sqref="H53 H55">
      <formula1>0</formula1>
      <formula2>2500</formula2>
    </dataValidation>
    <dataValidation type="whole" allowBlank="1" showInputMessage="1" showErrorMessage="1" errorTitle="Invalid Input" error="Invalid Input! Please enter any amount between RM0 to RM6,000" prompt="Please enter any amount between RM0 to RM6,000" sqref="H58">
      <formula1>0</formula1>
      <formula2>6000</formula2>
    </dataValidation>
    <dataValidation type="whole" allowBlank="1" showInputMessage="1" showErrorMessage="1" errorTitle="Invalid Input" error="Invalid Input! Please enter any amount between RM0 to RM250" prompt="Please enter any amount between RM0 to RM250" sqref="H76">
      <formula1>0</formula1>
      <formula2>250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Reset1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 (Example)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2021-09-04T04:57:56Z</dcterms:created>
  <dcterms:modified xsi:type="dcterms:W3CDTF">2021-09-05T08:58:03Z</dcterms:modified>
</cp:coreProperties>
</file>